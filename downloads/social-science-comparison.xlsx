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8a40d68b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7 사회 인쇄" sheetId="11" r:id="R08c2c0ea4d594df5"/>
    <x:sheet xmlns:r="http://schemas.openxmlformats.org/officeDocument/2006/relationships" name="2027 과학 인쇄" sheetId="12" r:id="R126d5d1e9cd94f02"/>
    <x:sheet xmlns:r="http://schemas.openxmlformats.org/officeDocument/2006/relationships" name="2028 사회 인쇄" sheetId="13" r:id="R3ee3ad7f4e164763"/>
    <x:sheet xmlns:r="http://schemas.openxmlformats.org/officeDocument/2006/relationships" name="2028 과학 인쇄" sheetId="14" r:id="R09af1e5db6c3420b"/>
    <x:sheet xmlns:r="http://schemas.openxmlformats.org/officeDocument/2006/relationships" name="2029 사회 인쇄" sheetId="15" r:id="Rce5560209dd947d3"/>
    <x:sheet xmlns:r="http://schemas.openxmlformats.org/officeDocument/2006/relationships" name="2029 과학 인쇄" sheetId="16" r:id="R30a0df7aca224033"/>
    <x:sheet xmlns:r="http://schemas.openxmlformats.org/officeDocument/2006/relationships" name="비교요약" sheetId="1" r:id="R09347813a9384bf8"/>
    <x:sheet xmlns:r="http://schemas.openxmlformats.org/officeDocument/2006/relationships" name="선택군비교" sheetId="2" r:id="R825eb33cb43b4a84"/>
    <x:sheet xmlns:r="http://schemas.openxmlformats.org/officeDocument/2006/relationships" name="산정근거" sheetId="3" r:id="R70f65337eef94363"/>
    <x:sheet xmlns:r="http://schemas.openxmlformats.org/officeDocument/2006/relationships" name="기존안 3년 비교" sheetId="4" r:id="R7baf8dbfbfe745ce"/>
    <x:sheet xmlns:r="http://schemas.openxmlformats.org/officeDocument/2006/relationships" name="기존안 과목내역" sheetId="5" r:id="R03ac4fff97ad4166"/>
    <x:sheet xmlns:r="http://schemas.openxmlformats.org/officeDocument/2006/relationships" name="배정 후 비교" sheetId="6" r:id="Re17589f072b94755"/>
    <x:sheet xmlns:r="http://schemas.openxmlformats.org/officeDocument/2006/relationships" name="2027 배당표" sheetId="7" r:id="Ra8d7a721178e4933" state="hidden"/>
    <x:sheet xmlns:r="http://schemas.openxmlformats.org/officeDocument/2006/relationships" name="2028 배당표" sheetId="8" r:id="R63d34c30f87d4814" state="hidden"/>
    <x:sheet xmlns:r="http://schemas.openxmlformats.org/officeDocument/2006/relationships" name="2029 배당표" sheetId="9" r:id="R76b3f1b50d1c4c9c" state="hidden"/>
    <x:sheet xmlns:r="http://schemas.openxmlformats.org/officeDocument/2006/relationships" name="공통융합 배정" sheetId="10" r:id="R5738842f6e11494e"/>
    <x:sheet xmlns:r="http://schemas.openxmlformats.org/officeDocument/2006/relationships" name="경제 수요 보정" sheetId="17" r:id="R1eea2881ee224d33"/>
  </x:sheets>
  <x:definedNames>
    <x:definedName name="_xlnm.Print_Area" localSheetId="0">'2027 사회 인쇄'!$B$2:$R$24,'2027 사회 인쇄'!$B$27:$R$47</x:definedName>
    <x:definedName name="_xlnm.Print_Area" localSheetId="1">'2027 과학 인쇄'!$B$2:$R$23,'2027 과학 인쇄'!$B$26:$R$53</x:definedName>
    <x:definedName name="_xlnm.Print_Area" localSheetId="2">'2028 사회 인쇄'!$B$2:$R$23,'2028 사회 인쇄'!$B$26:$R$44</x:definedName>
    <x:definedName name="_xlnm.Print_Area" localSheetId="3">'2028 과학 인쇄'!$B$2:$R$22,'2028 과학 인쇄'!$B$25:$R$54</x:definedName>
    <x:definedName name="_xlnm.Print_Area" localSheetId="4">'2029 사회 인쇄'!$B$2:$R$21,'2029 사회 인쇄'!$B$24:$R$43,'2029 사회 인쇄'!$B$46:$R$65</x:definedName>
    <x:definedName name="_xlnm.Print_Area" localSheetId="5">'2029 과학 인쇄'!$B$2:$R$23,'2029 과학 인쇄'!$B$26:$R$47,'2029 과학 인쇄'!$B$50:$R$79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0"/>
    <x:numFmt numFmtId="202" formatCode="+0;-0;0"/>
    <x:numFmt numFmtId="203" formatCode="0.00"/>
    <x:numFmt numFmtId="204" formatCode="+0.00;-0.00;0.00"/>
    <x:numFmt numFmtId="205" formatCode="0&quot;학년도&quot;"/>
    <x:numFmt numFmtId="206" formatCode="0&quot;학기&quot;"/>
    <x:numFmt numFmtId="207" formatCode="0&quot;학급&quot;"/>
    <x:numFmt numFmtId="208" formatCode="0.00%"/>
    <x:numFmt numFmtId="209" formatCode="0.0000"/>
    <x:numFmt numFmtId="210" formatCode="0.000000"/>
  </x:numFmts>
  <x:fonts count="19">
    <x:font>
      <x:sz val="11"/>
      <x:name val="Carlito"/>
    </x:font>
    <x:font>
      <x:sz val="10"/>
      <x:color rgb="FF25364A"/>
      <x:name val="Malgun Gothic"/>
    </x:font>
    <x:font>
      <x:b/>
      <x:sz val="16"/>
      <x:color rgb="FF243B53"/>
      <x:name val="Malgun Gothic"/>
    </x:font>
    <x:font>
      <x:sz val="10"/>
      <x:color rgb="FF62758A"/>
      <x:name val="Malgun Gothic"/>
    </x:font>
    <x:font>
      <x:b/>
      <x:sz val="10"/>
      <x:color rgb="FFFFFFFF"/>
      <x:name val="Malgun Gothic"/>
    </x:font>
    <x:font>
      <x:b/>
      <x:sz val="10"/>
      <x:color rgb="FF243B53"/>
      <x:name val="Malgun Gothic"/>
    </x:font>
    <x:font>
      <x:sz val="10"/>
      <x:color rgb="FF263747"/>
      <x:name val="Malgun Gothic"/>
    </x:font>
    <x:font>
      <x:sz val="10"/>
      <x:color rgb="FF607084"/>
      <x:name val="Malgun Gothic"/>
    </x:font>
    <x:font>
      <x:sz val="10"/>
      <x:color rgb="FF70541C"/>
      <x:name val="Malgun Gothic"/>
    </x:font>
    <x:font>
      <x:b/>
      <x:sz val="10"/>
      <x:color rgb="FF263747"/>
      <x:name val="Malgun Gothic"/>
    </x:font>
    <x:font>
      <x:sz val="10"/>
      <x:color rgb="FF476837"/>
      <x:name val="Malgun Gothic"/>
    </x:font>
    <x:font>
      <x:sz val="11"/>
      <x:color rgb="FF000000"/>
      <x:name val="Malgun Gothic"/>
    </x:font>
    <x:font>
      <x:b/>
      <x:sz val="16"/>
      <x:color rgb="FF000000"/>
      <x:name val="Malgun Gothic"/>
    </x:font>
    <x:font>
      <x:b/>
      <x:sz val="10"/>
      <x:color rgb="FF000000"/>
      <x:name val="Malgun Gothic"/>
    </x:font>
    <x:font>
      <x:b/>
      <x:sz val="10.5"/>
      <x:color rgb="FF000000"/>
      <x:name val="Malgun Gothic"/>
    </x:font>
    <x:font>
      <x:b/>
      <x:sz val="11"/>
      <x:color rgb="FF000000"/>
      <x:name val="Malgun Gothic"/>
    </x:font>
    <x:font>
      <x:sz val="9.5"/>
      <x:color rgb="FF000000"/>
      <x:name val="Malgun Gothic"/>
    </x:font>
    <x:font>
      <x:b/>
      <x:sz val="14"/>
      <x:color rgb="FF000000"/>
      <x:name val="Malgun Gothic"/>
    </x:font>
    <x:font>
      <x:b/>
      <x:sz val="11"/>
      <x:color rgb="FFFFFFFF"/>
      <x:name val="Malgun Gothic"/>
    </x:font>
  </x:fonts>
  <x:fills count="3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C2"/>
      </x:patternFill>
    </x:fill>
    <x:fill>
      <x:patternFill patternType="solid">
        <x:fgColor rgb="FFF3F6FA"/>
      </x:patternFill>
    </x:fill>
    <x:fill>
      <x:patternFill patternType="solid">
        <x:fgColor rgb="FFEDF2F7"/>
      </x:patternFill>
    </x:fill>
    <x:fill>
      <x:patternFill patternType="solid">
        <x:fgColor rgb="FF243B53"/>
      </x:patternFill>
    </x:fill>
    <x:fill>
      <x:patternFill patternType="solid">
        <x:fgColor rgb="FFEDF2F7"/>
      </x:patternFill>
    </x:fill>
    <x:fill>
      <x:patternFill patternType="solid">
        <x:fgColor rgb="FFD8E6F2"/>
      </x:patternFill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E8F2ED"/>
      </x:patternFill>
    </x:fill>
    <x:fill>
      <x:patternFill patternType="solid">
        <x:fgColor rgb="FFE3DFCA"/>
      </x:patternFill>
    </x:fill>
    <x:fill>
      <x:patternFill patternType="solid">
        <x:fgColor rgb="FFEDF5E9"/>
      </x:patternFill>
    </x:fill>
    <x:fill>
      <x:patternFill patternType="solid">
        <x:fgColor rgb="FFFBEBDD"/>
      </x:patternFill>
    </x:fill>
    <x:fill>
      <x:patternFill patternType="solid">
        <x:fgColor rgb="FFEBEFF3"/>
      </x:patternFill>
    </x:fill>
    <x:fill>
      <x:patternFill patternType="solid">
        <x:fgColor rgb="FFE9E3EF"/>
      </x:patternFill>
    </x:fill>
    <x:fill>
      <x:patternFill patternType="solid">
        <x:fgColor rgb="FFE3EBCB"/>
      </x:patternFill>
    </x:fill>
    <x:fill>
      <x:patternFill patternType="solid">
        <x:fgColor rgb="FFE9EEF3"/>
      </x:patternFill>
    </x:fill>
    <x:fill>
      <x:patternFill patternType="solid">
        <x:fgColor rgb="FFE6E6E6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6E6E6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D9D9D9"/>
      </x:patternFill>
    </x:fill>
    <x:fill>
      <x:patternFill patternType="solid">
        <x:fgColor rgb="FFE6E6E6"/>
      </x:patternFill>
    </x:fill>
    <x:fill>
      <x:patternFill patternType="solid">
        <x:fgColor rgb="FFFFF2CC"/>
      </x:patternFill>
    </x:fill>
    <x:fill>
      <x:patternFill patternType="solid">
        <x:fgColor rgb="FFDAE4ED"/>
      </x:patternFill>
    </x:fill>
    <x:fill>
      <x:patternFill patternType="solid">
        <x:fgColor rgb="FF243B53"/>
      </x:patternFill>
    </x:fill>
    <x:fill>
      <x:patternFill patternType="solid">
        <x:fgColor rgb="FFE6E6E6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D9D9D9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CBD5E1"/>
      </x:top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/>
      <x:bottom style="thin">
        <x:color rgb="FFCCD4DC"/>
      </x:bottom>
      <x:diagonal/>
    </x:border>
    <x:border>
      <x:left style="thin">
        <x:color rgb="FFA4AA9B"/>
      </x:left>
      <x:right style="thin">
        <x:color rgb="FFA4AA9B"/>
      </x:right>
      <x:top style="thin">
        <x:color rgb="FFA4AA9B"/>
      </x:top>
      <x:bottom style="thin">
        <x:color rgb="FFA4AA9B"/>
      </x:bottom>
      <x:diagonal/>
    </x:border>
    <x:border>
      <x:left/>
      <x:right style="thin">
        <x:color rgb="FFCCD4DC"/>
      </x:right>
      <x:top/>
      <x:bottom style="dotted">
        <x:color rgb="FFDDE2E6"/>
      </x:bottom>
      <x:diagonal/>
    </x:border>
    <x:border>
      <x:left style="thin">
        <x:color rgb="FFCCD4DC"/>
      </x:left>
      <x:right style="thin">
        <x:color rgb="FFCCD4DC"/>
      </x:right>
      <x:top/>
      <x:bottom style="dotted">
        <x:color rgb="FFDDE2E6"/>
      </x:bottom>
      <x:diagonal/>
    </x:border>
    <x:border>
      <x:left style="thin">
        <x:color rgb="FFCCD4DC"/>
      </x:left>
      <x:right/>
      <x:top/>
      <x:bottom style="dotted">
        <x:color rgb="FFDDE2E6"/>
      </x:bottom>
      <x:diagonal/>
    </x:border>
    <x:border>
      <x:left/>
      <x:right style="thin">
        <x:color rgb="FFCCD4DC"/>
      </x:right>
      <x:top style="dotted">
        <x:color rgb="FFDDE2E6"/>
      </x:top>
      <x:bottom style="dotted">
        <x:color rgb="FFDDE2E6"/>
      </x:bottom>
      <x:diagonal/>
    </x:border>
    <x:border>
      <x:left style="thin">
        <x:color rgb="FFCCD4DC"/>
      </x:left>
      <x:right style="thin">
        <x:color rgb="FFCCD4DC"/>
      </x:right>
      <x:top style="dotted">
        <x:color rgb="FFDDE2E6"/>
      </x:top>
      <x:bottom style="dotted">
        <x:color rgb="FFDDE2E6"/>
      </x:bottom>
      <x:diagonal/>
    </x:border>
    <x:border>
      <x:left style="thin">
        <x:color rgb="FFCCD4DC"/>
      </x:left>
      <x:right/>
      <x:top style="dotted">
        <x:color rgb="FFDDE2E6"/>
      </x:top>
      <x:bottom style="dotted">
        <x:color rgb="FFDDE2E6"/>
      </x:bottom>
      <x:diagonal/>
    </x:border>
    <x:border>
      <x:left/>
      <x:right style="thin">
        <x:color rgb="FFCCD4DC"/>
      </x:right>
      <x:top style="dotted">
        <x:color rgb="FFDDE2E6"/>
      </x:top>
      <x:bottom/>
      <x:diagonal/>
    </x:border>
    <x:border>
      <x:left style="thin">
        <x:color rgb="FFCCD4DC"/>
      </x:left>
      <x:right style="thin">
        <x:color rgb="FFCCD4DC"/>
      </x:right>
      <x:top style="dotted">
        <x:color rgb="FFDDE2E6"/>
      </x:top>
      <x:bottom/>
      <x:diagonal/>
    </x:border>
    <x:border>
      <x:left style="thin">
        <x:color rgb="FFCCD4DC"/>
      </x:left>
      <x:right/>
      <x:top style="dotted">
        <x:color rgb="FFDDE2E6"/>
      </x:top>
      <x:bottom/>
      <x:diagonal/>
    </x:border>
    <x:border>
      <x:left/>
      <x:right/>
      <x:top style="thin">
        <x:color rgb="FF97A7B6"/>
      </x:top>
      <x:bottom style="thin">
        <x:color rgb="FFCCD4DC"/>
      </x:bottom>
      <x:diagonal/>
    </x:border>
    <x:border>
      <x:left style="thin">
        <x:color rgb="FF505050"/>
      </x:left>
      <x:right style="thin">
        <x:color rgb="FF505050"/>
      </x:right>
      <x:top style="thin">
        <x:color rgb="FF505050"/>
      </x:top>
      <x:bottom style="thin">
        <x:color rgb="FF505050"/>
      </x:bottom>
      <x:diagonal/>
    </x:border>
    <x:border>
      <x:left/>
      <x:right/>
      <x:top/>
      <x:bottom style="thin">
        <x:color rgb="FFA6A6A6"/>
      </x:bottom>
      <x:diagonal/>
    </x:border>
    <x:border>
      <x:left style="thin">
        <x:color rgb="FF707070"/>
      </x:left>
      <x:right/>
      <x:top/>
      <x:bottom style="thin">
        <x:color rgb="FFA6A6A6"/>
      </x:bottom>
      <x:diagonal/>
    </x:border>
    <x:border>
      <x:left/>
      <x:right/>
      <x:top style="medium">
        <x:color rgb="FF000000"/>
      </x:top>
      <x:bottom style="thin">
        <x:color rgb="FFA6A6A6"/>
      </x:bottom>
      <x:diagonal/>
    </x:border>
    <x:border>
      <x:left style="thin">
        <x:color rgb="FF707070"/>
      </x:left>
      <x:right/>
      <x:top style="medium">
        <x:color rgb="FF000000"/>
      </x:top>
      <x:bottom style="thin">
        <x:color rgb="FFA6A6A6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thin">
        <x:color rgb="FF203B53"/>
      </x:bottom>
      <x:diagonal/>
    </x:border>
    <x:border>
      <x:left/>
      <x:right/>
      <x:top/>
      <x:bottom style="thin">
        <x:color rgb="FFC9C9C9"/>
      </x:bottom>
      <x:diagonal/>
    </x:border>
  </x:borders>
  <x:cellStyleXfs count="1">
    <x:xf numFmtId="0" fontId="0" fillId="0" borderId="0"/>
  </x:cellStyleXfs>
  <x:cellXfs count="30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200" fontId="1" fillId="5" borderId="0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 wrapText="0"/>
    </x:xf>
    <x:xf numFmtId="200" fontId="5" fillId="5" borderId="0" xfId="0" applyNumberFormat="1" applyFont="1" applyFill="1" applyBorder="1" applyAlignment="1">
      <x:alignment vertical="center" wrapText="0"/>
    </x:xf>
    <x:xf numFmtId="0" fontId="5" fillId="5" borderId="4" xfId="0" applyNumberFormat="1" applyFont="1" applyFill="1" applyBorder="1" applyAlignment="1">
      <x:alignment vertical="center" wrapText="0"/>
    </x:xf>
    <x:xf numFmtId="200" fontId="5" fillId="5" borderId="4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5" fillId="5" borderId="4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5" borderId="0" xfId="0" applyNumberFormat="1" applyFont="1" applyFill="1" applyBorder="1" applyAlignment="1">
      <x:alignment vertical="center" wrapText="0"/>
    </x:xf>
    <x:xf numFmtId="203" fontId="5" fillId="5" borderId="0" xfId="0" applyNumberFormat="1" applyFont="1" applyFill="1" applyBorder="1" applyAlignment="1">
      <x:alignment vertical="center" wrapText="0"/>
    </x:xf>
    <x:xf numFmtId="203" fontId="5" fillId="5" borderId="4" xfId="0" applyNumberFormat="1" applyFont="1" applyFill="1" applyBorder="1" applyAlignment="1">
      <x:alignment vertical="center" wrapText="0"/>
    </x:xf>
    <x:xf numFmtId="202" fontId="5" fillId="5" borderId="0" xfId="0" applyNumberFormat="1" applyFont="1" applyFill="1" applyBorder="1" applyAlignment="1">
      <x:alignment vertical="center" wrapText="0"/>
    </x:xf>
    <x:xf numFmtId="204" fontId="5" fillId="5" borderId="4" xfId="0" applyNumberFormat="1" applyFont="1" applyFill="1" applyBorder="1" applyAlignment="1">
      <x:alignment vertical="center" wrapText="0"/>
    </x:xf>
    <x:xf numFmtId="204" fontId="5" fillId="5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200" fontId="5" fillId="5" borderId="4" xfId="0" applyNumberFormat="1" applyFont="1" applyFill="1" applyBorder="1" applyAlignment="1">
      <x:alignment horizontal="right" vertical="center" wrapText="0"/>
    </x:xf>
    <x:xf numFmtId="202" fontId="5" fillId="5" borderId="4" xfId="0" applyNumberFormat="1" applyFont="1" applyFill="1" applyBorder="1" applyAlignment="1">
      <x:alignment horizontal="right" vertical="center" wrapText="0"/>
    </x:xf>
    <x:xf numFmtId="203" fontId="5" fillId="5" borderId="4" xfId="0" applyNumberFormat="1" applyFont="1" applyFill="1" applyBorder="1" applyAlignment="1">
      <x:alignment horizontal="right" vertical="center" wrapText="0"/>
    </x:xf>
    <x:xf numFmtId="204" fontId="5" fillId="5" borderId="4" xfId="0" applyNumberFormat="1" applyFont="1" applyFill="1" applyBorder="1" applyAlignment="1">
      <x:alignment horizontal="right" vertical="center" wrapText="0"/>
    </x:xf>
    <x:xf numFmtId="200" fontId="5" fillId="5" borderId="0" xfId="0" applyNumberFormat="1" applyFont="1" applyFill="1" applyBorder="1" applyAlignment="1">
      <x:alignment horizontal="right" vertical="center" wrapText="0"/>
    </x:xf>
    <x:xf numFmtId="202" fontId="5" fillId="5" borderId="0" xfId="0" applyNumberFormat="1" applyFont="1" applyFill="1" applyBorder="1" applyAlignment="1">
      <x:alignment horizontal="right" vertical="center" wrapText="0"/>
    </x:xf>
    <x:xf numFmtId="203" fontId="5" fillId="5" borderId="0" xfId="0" applyNumberFormat="1" applyFont="1" applyFill="1" applyBorder="1" applyAlignment="1">
      <x:alignment horizontal="right" vertical="center" wrapText="0"/>
    </x:xf>
    <x:xf numFmtId="204" fontId="5" fillId="5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4" fillId="2" borderId="2" xfId="0" applyNumberFormat="1" applyFont="1" applyFill="1" applyBorder="1" applyAlignment="1">
      <x:alignment horizontal="right" vertical="center" wrapText="0"/>
    </x:xf>
    <x:xf numFmtId="0" fontId="4" fillId="2" borderId="3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0" fontId="1" fillId="6" borderId="0" xfId="0" applyNumberFormat="1" applyFont="1" applyFill="1" applyBorder="1" applyAlignment="1">
      <x:alignment vertical="center" wrapText="0"/>
    </x:xf>
    <x:xf numFmtId="0" fontId="4" fillId="6" borderId="0" xfId="0" applyNumberFormat="1" applyFont="1" applyFill="1" applyBorder="1" applyAlignment="1">
      <x:alignment vertical="center" wrapText="0"/>
    </x:xf>
    <x:xf numFmtId="0" fontId="4" fillId="6" borderId="1" xfId="0" applyNumberFormat="1" applyFont="1" applyFill="1" applyBorder="1" applyAlignment="1">
      <x:alignment vertical="center" wrapText="0"/>
    </x:xf>
    <x:xf numFmtId="0" fontId="4" fillId="6" borderId="2" xfId="0" applyNumberFormat="1" applyFont="1" applyFill="1" applyBorder="1" applyAlignment="1">
      <x:alignment vertical="center" wrapText="0"/>
    </x:xf>
    <x:xf numFmtId="0" fontId="4" fillId="6" borderId="3" xfId="0" applyNumberFormat="1" applyFont="1" applyFill="1" applyBorder="1" applyAlignment="1">
      <x:alignment vertical="center" wrapText="0"/>
    </x:xf>
    <x:xf numFmtId="0" fontId="4" fillId="6" borderId="1" xfId="0" applyNumberFormat="1" applyFont="1" applyFill="1" applyBorder="1" applyAlignment="1">
      <x:alignment horizontal="center" vertical="center" wrapText="0"/>
    </x:xf>
    <x:xf numFmtId="0" fontId="4" fillId="6" borderId="2" xfId="0" applyNumberFormat="1" applyFont="1" applyFill="1" applyBorder="1" applyAlignment="1">
      <x:alignment horizontal="center" vertical="center" wrapText="0"/>
    </x:xf>
    <x:xf numFmtId="0" fontId="4" fillId="6" borderId="3" xfId="0" applyNumberFormat="1" applyFont="1" applyFill="1" applyBorder="1" applyAlignment="1">
      <x:alignment horizontal="center" vertical="center" wrapText="0"/>
    </x:xf>
    <x:xf numFmtId="205" fontId="4" fillId="6" borderId="2" xfId="0" applyNumberFormat="1" applyFont="1" applyFill="1" applyBorder="1" applyAlignment="1">
      <x:alignment horizontal="center" vertical="center" wrapText="0"/>
    </x:xf>
    <x:xf numFmtId="205" fontId="4" fillId="6" borderId="3" xfId="0" applyNumberFormat="1" applyFont="1" applyFill="1" applyBorder="1" applyAlignment="1">
      <x:alignment horizontal="center" vertical="center" wrapText="0"/>
    </x:xf>
    <x:xf numFmtId="206" fontId="4" fillId="6" borderId="2" xfId="0" applyNumberFormat="1" applyFont="1" applyFill="1" applyBorder="1" applyAlignment="1">
      <x:alignment horizontal="center" vertical="center" wrapText="0"/>
    </x:xf>
    <x:xf numFmtId="206" fontId="4" fillId="6" borderId="3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 wrapText="0"/>
    </x:xf>
    <x:xf numFmtId="0" fontId="5" fillId="7" borderId="0" xfId="0" applyNumberFormat="1" applyFont="1" applyFill="1" applyBorder="1" applyAlignment="1">
      <x:alignment vertical="center" wrapText="0"/>
    </x:xf>
    <x:xf numFmtId="0" fontId="5" fillId="7" borderId="4" xfId="0" applyNumberFormat="1" applyFont="1" applyFill="1" applyBorder="1" applyAlignment="1">
      <x:alignment vertical="center" wrapText="0"/>
    </x:xf>
    <x:xf numFmtId="200" fontId="5" fillId="7" borderId="4" xfId="0" applyNumberFormat="1" applyFont="1" applyFill="1" applyBorder="1" applyAlignment="1">
      <x:alignment vertical="center" wrapText="0"/>
    </x:xf>
    <x:xf numFmtId="200" fontId="5" fillId="7" borderId="0" xfId="0" applyNumberFormat="1" applyFont="1" applyFill="1" applyBorder="1" applyAlignment="1">
      <x:alignment vertical="center" wrapText="0"/>
    </x:xf>
    <x:xf numFmtId="201" fontId="5" fillId="7" borderId="0" xfId="0" applyNumberFormat="1" applyFont="1" applyFill="1" applyBorder="1" applyAlignment="1">
      <x:alignment vertical="center" wrapText="0"/>
    </x:xf>
    <x:xf numFmtId="0" fontId="5" fillId="7" borderId="0" xfId="0" applyNumberFormat="1" applyFont="1" applyFill="1" applyBorder="1" applyAlignment="1">
      <x:alignment horizontal="right" vertical="center" wrapText="0"/>
    </x:xf>
    <x:xf numFmtId="200" fontId="5" fillId="7" borderId="4" xfId="0" applyNumberFormat="1" applyFont="1" applyFill="1" applyBorder="1" applyAlignment="1">
      <x:alignment horizontal="right" vertical="center" wrapText="0"/>
    </x:xf>
    <x:xf numFmtId="200" fontId="5" fillId="7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5" fillId="7" borderId="0" xfId="0" applyNumberFormat="1" applyFont="1" applyFill="1" applyBorder="1" applyAlignment="1">
      <x:alignment horizontal="right" vertical="center" wrapText="0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6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6" fillId="8" borderId="0" xfId="0" applyNumberFormat="1" applyFont="1" applyFill="1" applyBorder="1" applyAlignment="1">
      <x:alignment vertical="center" wrapText="0"/>
    </x:xf>
    <x:xf numFmtId="0" fontId="5" fillId="8" borderId="0" xfId="0" applyNumberFormat="1" applyFont="1" applyFill="1" applyBorder="1" applyAlignment="1">
      <x:alignment vertical="center" wrapText="0"/>
    </x:xf>
    <x:xf numFmtId="0" fontId="6" fillId="9" borderId="0" xfId="0" applyNumberFormat="1" applyFont="1" applyFill="1" applyBorder="1" applyAlignment="1">
      <x:alignment vertical="center" wrapText="0"/>
    </x:xf>
    <x:xf numFmtId="0" fontId="4" fillId="9" borderId="0" xfId="0" applyNumberFormat="1" applyFont="1" applyFill="1" applyBorder="1" applyAlignment="1">
      <x:alignment vertical="center" wrapText="0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vertical="center" wrapText="0"/>
    </x:xf>
    <x:xf numFmtId="0" fontId="8" fillId="10" borderId="0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8" fillId="10" borderId="0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horizontal="right" vertical="center" wrapText="0"/>
    </x:xf>
    <x:xf numFmtId="201" fontId="8" fillId="10" borderId="0" xfId="0" applyNumberFormat="1" applyFont="1" applyFill="1" applyBorder="1" applyAlignment="1">
      <x:alignment horizontal="right" vertical="center" wrapText="0"/>
    </x:xf>
    <x:xf numFmtId="0" fontId="6" fillId="11" borderId="0" xfId="0" applyNumberFormat="1" applyFont="1" applyFill="1" applyBorder="1" applyAlignment="1">
      <x:alignment vertical="center" wrapText="0"/>
    </x:xf>
    <x:xf numFmtId="0" fontId="6" fillId="12" borderId="0" xfId="0" applyNumberFormat="1" applyFont="1" applyFill="1" applyBorder="1" applyAlignment="1">
      <x:alignment vertical="center" wrapText="0"/>
    </x:xf>
    <x:xf numFmtId="0" fontId="9" fillId="12" borderId="0" xfId="0" applyNumberFormat="1" applyFont="1" applyFill="1" applyBorder="1" applyAlignment="1">
      <x:alignment vertical="center" wrapText="0"/>
    </x:xf>
    <x:xf numFmtId="0" fontId="9" fillId="12" borderId="7" xfId="0" applyNumberFormat="1" applyFont="1" applyFill="1" applyBorder="1" applyAlignment="1">
      <x:alignment vertical="center" wrapText="0"/>
    </x:xf>
    <x:xf numFmtId="0" fontId="9" fillId="12" borderId="7" xfId="0" applyNumberFormat="1" applyFont="1" applyFill="1" applyBorder="1" applyAlignment="1">
      <x:alignment vertical="center" wrapText="1"/>
    </x:xf>
    <x:xf numFmtId="0" fontId="9" fillId="12" borderId="7" xfId="0" applyNumberFormat="1" applyFont="1" applyFill="1" applyBorder="1" applyAlignment="1">
      <x:alignment horizontal="center" vertical="center" wrapText="1"/>
    </x:xf>
    <x:xf numFmtId="207" fontId="9" fillId="12" borderId="7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vertical="center" wrapText="0"/>
    </x:xf>
    <x:xf numFmtId="0" fontId="10" fillId="13" borderId="0" xfId="0" applyNumberFormat="1" applyFont="1" applyFill="1" applyBorder="1" applyAlignment="1">
      <x:alignment vertical="center" wrapText="0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0"/>
    </x:xf>
    <x:xf numFmtId="0" fontId="10" fillId="13" borderId="0" xfId="0" applyNumberFormat="1" applyFont="1" applyFill="1" applyBorder="1" applyAlignment="1">
      <x:alignment horizontal="center" vertical="center" wrapText="0"/>
    </x:xf>
    <x:xf numFmtId="0" fontId="6" fillId="0" borderId="8" xfId="0" applyNumberFormat="1" applyFont="1" applyFill="1" applyBorder="1" applyAlignment="1">
      <x:alignment vertical="center" wrapText="0"/>
    </x:xf>
    <x:xf numFmtId="0" fontId="6" fillId="0" borderId="9" xfId="0" applyNumberFormat="1" applyFont="1" applyFill="1" applyBorder="1" applyAlignment="1">
      <x:alignment vertical="center" wrapText="0"/>
    </x:xf>
    <x:xf numFmtId="0" fontId="6" fillId="0" borderId="10" xfId="0" applyNumberFormat="1" applyFont="1" applyFill="1" applyBorder="1" applyAlignment="1">
      <x:alignment vertical="center" wrapText="0"/>
    </x:xf>
    <x:xf numFmtId="0" fontId="6" fillId="0" borderId="11" xfId="0" applyNumberFormat="1" applyFont="1" applyFill="1" applyBorder="1" applyAlignment="1">
      <x:alignment vertical="center" wrapText="0"/>
    </x:xf>
    <x:xf numFmtId="0" fontId="6" fillId="0" borderId="12" xfId="0" applyNumberFormat="1" applyFont="1" applyFill="1" applyBorder="1" applyAlignment="1">
      <x:alignment vertical="center" wrapText="0"/>
    </x:xf>
    <x:xf numFmtId="0" fontId="6" fillId="0" borderId="13" xfId="0" applyNumberFormat="1" applyFont="1" applyFill="1" applyBorder="1" applyAlignment="1">
      <x:alignment vertical="center" wrapText="0"/>
    </x:xf>
    <x:xf numFmtId="0" fontId="6" fillId="0" borderId="14" xfId="0" applyNumberFormat="1" applyFont="1" applyFill="1" applyBorder="1" applyAlignment="1">
      <x:alignment vertical="center" wrapText="0"/>
    </x:xf>
    <x:xf numFmtId="0" fontId="6" fillId="0" borderId="15" xfId="0" applyNumberFormat="1" applyFont="1" applyFill="1" applyBorder="1" applyAlignment="1">
      <x:alignment vertical="center" wrapText="0"/>
    </x:xf>
    <x:xf numFmtId="0" fontId="6" fillId="0" borderId="16" xfId="0" applyNumberFormat="1" applyFont="1" applyFill="1" applyBorder="1" applyAlignment="1">
      <x:alignment vertical="center" wrapText="0"/>
    </x:xf>
    <x:xf numFmtId="0" fontId="6" fillId="0" borderId="8" xfId="0" applyNumberFormat="1" applyFont="1" applyFill="1" applyBorder="1" applyAlignment="1">
      <x:alignment horizontal="right" vertical="center" wrapText="0"/>
    </x:xf>
    <x:xf numFmtId="0" fontId="6" fillId="0" borderId="9" xfId="0" applyNumberFormat="1" applyFont="1" applyFill="1" applyBorder="1" applyAlignment="1">
      <x:alignment horizontal="right" vertical="center" wrapText="0"/>
    </x:xf>
    <x:xf numFmtId="0" fontId="6" fillId="0" borderId="10" xfId="0" applyNumberFormat="1" applyFont="1" applyFill="1" applyBorder="1" applyAlignment="1">
      <x:alignment horizontal="right" vertical="center" wrapText="0"/>
    </x:xf>
    <x:xf numFmtId="0" fontId="6" fillId="0" borderId="11" xfId="0" applyNumberFormat="1" applyFont="1" applyFill="1" applyBorder="1" applyAlignment="1">
      <x:alignment horizontal="right" vertical="center" wrapText="0"/>
    </x:xf>
    <x:xf numFmtId="0" fontId="6" fillId="0" borderId="12" xfId="0" applyNumberFormat="1" applyFont="1" applyFill="1" applyBorder="1" applyAlignment="1">
      <x:alignment horizontal="right" vertical="center" wrapText="0"/>
    </x:xf>
    <x:xf numFmtId="0" fontId="6" fillId="0" borderId="13" xfId="0" applyNumberFormat="1" applyFont="1" applyFill="1" applyBorder="1" applyAlignment="1">
      <x:alignment horizontal="right" vertical="center" wrapText="0"/>
    </x:xf>
    <x:xf numFmtId="0" fontId="6" fillId="0" borderId="14" xfId="0" applyNumberFormat="1" applyFont="1" applyFill="1" applyBorder="1" applyAlignment="1">
      <x:alignment horizontal="right" vertical="center" wrapText="0"/>
    </x:xf>
    <x:xf numFmtId="0" fontId="6" fillId="0" borderId="15" xfId="0" applyNumberFormat="1" applyFont="1" applyFill="1" applyBorder="1" applyAlignment="1">
      <x:alignment horizontal="right" vertical="center" wrapText="0"/>
    </x:xf>
    <x:xf numFmtId="0" fontId="6" fillId="0" borderId="16" xfId="0" applyNumberFormat="1" applyFont="1" applyFill="1" applyBorder="1" applyAlignment="1">
      <x:alignment horizontal="right" vertical="center" wrapText="0"/>
    </x:xf>
    <x:xf numFmtId="201" fontId="6" fillId="0" borderId="8" xfId="0" applyNumberFormat="1" applyFont="1" applyFill="1" applyBorder="1" applyAlignment="1">
      <x:alignment horizontal="right" vertical="center" wrapText="0"/>
    </x:xf>
    <x:xf numFmtId="201" fontId="6" fillId="0" borderId="9" xfId="0" applyNumberFormat="1" applyFont="1" applyFill="1" applyBorder="1" applyAlignment="1">
      <x:alignment horizontal="right" vertical="center" wrapText="0"/>
    </x:xf>
    <x:xf numFmtId="201" fontId="6" fillId="0" borderId="10" xfId="0" applyNumberFormat="1" applyFont="1" applyFill="1" applyBorder="1" applyAlignment="1">
      <x:alignment horizontal="right" vertical="center" wrapText="0"/>
    </x:xf>
    <x:xf numFmtId="201" fontId="6" fillId="0" borderId="11" xfId="0" applyNumberFormat="1" applyFont="1" applyFill="1" applyBorder="1" applyAlignment="1">
      <x:alignment horizontal="right" vertical="center" wrapText="0"/>
    </x:xf>
    <x:xf numFmtId="201" fontId="6" fillId="0" borderId="12" xfId="0" applyNumberFormat="1" applyFont="1" applyFill="1" applyBorder="1" applyAlignment="1">
      <x:alignment horizontal="right" vertical="center" wrapText="0"/>
    </x:xf>
    <x:xf numFmtId="201" fontId="6" fillId="0" borderId="13" xfId="0" applyNumberFormat="1" applyFont="1" applyFill="1" applyBorder="1" applyAlignment="1">
      <x:alignment horizontal="right" vertical="center" wrapText="0"/>
    </x:xf>
    <x:xf numFmtId="201" fontId="6" fillId="0" borderId="14" xfId="0" applyNumberFormat="1" applyFont="1" applyFill="1" applyBorder="1" applyAlignment="1">
      <x:alignment horizontal="right" vertical="center" wrapText="0"/>
    </x:xf>
    <x:xf numFmtId="201" fontId="6" fillId="0" borderId="15" xfId="0" applyNumberFormat="1" applyFont="1" applyFill="1" applyBorder="1" applyAlignment="1">
      <x:alignment horizontal="right" vertical="center" wrapText="0"/>
    </x:xf>
    <x:xf numFmtId="201" fontId="6" fillId="0" borderId="16" xfId="0" applyNumberFormat="1" applyFont="1" applyFill="1" applyBorder="1" applyAlignment="1">
      <x:alignment horizontal="right" vertical="center" wrapText="0"/>
    </x:xf>
    <x:xf numFmtId="201" fontId="6" fillId="14" borderId="9" xfId="0" applyNumberFormat="1" applyFont="1" applyFill="1" applyBorder="1" applyAlignment="1">
      <x:alignment horizontal="right" vertical="center" wrapText="0"/>
    </x:xf>
    <x:xf numFmtId="201" fontId="6" fillId="14" borderId="12" xfId="0" applyNumberFormat="1" applyFont="1" applyFill="1" applyBorder="1" applyAlignment="1">
      <x:alignment horizontal="right" vertical="center" wrapText="0"/>
    </x:xf>
    <x:xf numFmtId="201" fontId="6" fillId="14" borderId="15" xfId="0" applyNumberFormat="1" applyFont="1" applyFill="1" applyBorder="1" applyAlignment="1">
      <x:alignment horizontal="right" vertical="center" wrapText="0"/>
    </x:xf>
    <x:xf numFmtId="201" fontId="6" fillId="14" borderId="10" xfId="0" applyNumberFormat="1" applyFont="1" applyFill="1" applyBorder="1" applyAlignment="1">
      <x:alignment horizontal="right" vertical="center" wrapText="0"/>
    </x:xf>
    <x:xf numFmtId="201" fontId="6" fillId="14" borderId="13" xfId="0" applyNumberFormat="1" applyFont="1" applyFill="1" applyBorder="1" applyAlignment="1">
      <x:alignment horizontal="right" vertical="center" wrapText="0"/>
    </x:xf>
    <x:xf numFmtId="201" fontId="6" fillId="14" borderId="16" xfId="0" applyNumberFormat="1" applyFont="1" applyFill="1" applyBorder="1" applyAlignment="1">
      <x:alignment horizontal="right" vertical="center" wrapText="0"/>
    </x:xf>
    <x:xf numFmtId="0" fontId="6" fillId="15" borderId="0" xfId="0" applyNumberFormat="1" applyFont="1" applyFill="1" applyBorder="1" applyAlignment="1">
      <x:alignment vertical="center" wrapText="0"/>
    </x:xf>
    <x:xf numFmtId="0" fontId="5" fillId="15" borderId="0" xfId="0" applyNumberFormat="1" applyFont="1" applyFill="1" applyBorder="1" applyAlignment="1">
      <x:alignment vertical="center" wrapText="0"/>
    </x:xf>
    <x:xf numFmtId="0" fontId="5" fillId="15" borderId="17" xfId="0" applyNumberFormat="1" applyFont="1" applyFill="1" applyBorder="1" applyAlignment="1">
      <x:alignment vertical="center" wrapText="0"/>
    </x:xf>
    <x:xf numFmtId="203" fontId="5" fillId="15" borderId="17" xfId="0" applyNumberFormat="1" applyFont="1" applyFill="1" applyBorder="1" applyAlignment="1">
      <x:alignment vertical="center" wrapText="0"/>
    </x:xf>
    <x:xf numFmtId="0" fontId="5" fillId="16" borderId="17" xfId="0" applyNumberFormat="1" applyFont="1" applyFill="1" applyBorder="1" applyAlignment="1">
      <x:alignment vertical="center" wrapText="0"/>
    </x:xf>
    <x:xf numFmtId="203" fontId="5" fillId="17" borderId="17" xfId="0" applyNumberFormat="1" applyFont="1" applyFill="1" applyBorder="1" applyAlignment="1">
      <x:alignment vertical="center" wrapText="0"/>
    </x:xf>
    <x:xf numFmtId="0" fontId="5" fillId="12" borderId="0" xfId="0" applyNumberFormat="1" applyFont="1" applyFill="1" applyBorder="1" applyAlignment="1">
      <x:alignment vertical="center" wrapText="0"/>
    </x:xf>
    <x:xf numFmtId="203" fontId="5" fillId="12" borderId="0" xfId="0" applyNumberFormat="1" applyFont="1" applyFill="1" applyBorder="1" applyAlignment="1">
      <x:alignment vertical="center" wrapText="0"/>
    </x:xf>
    <x:xf numFmtId="0" fontId="5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vertical="center" wrapText="0"/>
    </x:xf>
    <x:xf numFmtId="0" fontId="5" fillId="18" borderId="0" xfId="0" applyNumberFormat="1" applyFont="1" applyFill="1" applyBorder="1" applyAlignment="1">
      <x:alignment vertical="center" wrapText="0"/>
    </x:xf>
    <x:xf numFmtId="203" fontId="6" fillId="0" borderId="0" xfId="0" applyNumberFormat="1" applyFont="1" applyFill="1" applyBorder="1" applyAlignment="1">
      <x:alignment vertical="center" wrapText="0"/>
    </x:xf>
    <x:xf numFmtId="203" fontId="5" fillId="18" borderId="0" xfId="0" applyNumberFormat="1" applyFont="1" applyFill="1" applyBorder="1" applyAlignment="1">
      <x:alignment vertical="center" wrapText="0"/>
    </x:xf>
    <x:xf numFmtId="204" fontId="6" fillId="0" borderId="0" xfId="0" applyNumberFormat="1" applyFont="1" applyFill="1" applyBorder="1" applyAlignment="1">
      <x:alignment vertical="center" wrapText="0"/>
    </x:xf>
    <x:xf numFmtId="204" fontId="5" fillId="18" borderId="0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5" fillId="18" borderId="0" xfId="0" applyNumberFormat="1" applyFont="1" applyFill="1" applyBorder="1" applyAlignment="1">
      <x:alignment vertical="center" wrapText="0"/>
    </x:xf>
    <x:xf numFmtId="203" fontId="6" fillId="17" borderId="0" xfId="0" applyNumberFormat="1" applyFont="1" applyFill="1" applyBorder="1" applyAlignment="1">
      <x:alignment vertical="center" wrapText="0"/>
    </x:xf>
    <x:xf numFmtId="201" fontId="6" fillId="18" borderId="0" xfId="0" applyNumberFormat="1" applyFont="1" applyFill="1" applyBorder="1" applyAlignment="1">
      <x:alignment vertical="center" wrapText="0"/>
    </x:xf>
    <x:xf numFmtId="201" fontId="5" fillId="18" borderId="0" xfId="0" applyNumberFormat="1" applyFont="1" applyFill="1" applyBorder="1" applyAlignment="1">
      <x:alignment vertical="center" wrapText="0"/>
    </x:xf>
    <x:xf numFmtId="203" fontId="6" fillId="18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horizontal="right" vertical="center" wrapText="0"/>
    </x:xf>
    <x:xf numFmtId="203" fontId="6" fillId="17" borderId="0" xfId="0" applyNumberFormat="1" applyFont="1" applyFill="1" applyBorder="1" applyAlignment="1">
      <x:alignment horizontal="right" vertical="center" wrapText="0"/>
    </x:xf>
    <x:xf numFmtId="202" fontId="6" fillId="0" borderId="0" xfId="0" applyNumberFormat="1" applyFont="1" applyFill="1" applyBorder="1" applyAlignment="1">
      <x:alignment horizontal="right" vertical="center" wrapText="0"/>
    </x:xf>
    <x:xf numFmtId="204" fontId="6" fillId="0" borderId="0" xfId="0" applyNumberFormat="1" applyFont="1" applyFill="1" applyBorder="1" applyAlignment="1">
      <x:alignment horizontal="right" vertical="center" wrapText="0"/>
    </x:xf>
    <x:xf numFmtId="0" fontId="5" fillId="18" borderId="0" xfId="0" applyNumberFormat="1" applyFont="1" applyFill="1" applyBorder="1" applyAlignment="1">
      <x:alignment horizontal="right" vertical="center" wrapText="0"/>
    </x:xf>
    <x:xf numFmtId="203" fontId="5" fillId="18" borderId="0" xfId="0" applyNumberFormat="1" applyFont="1" applyFill="1" applyBorder="1" applyAlignment="1">
      <x:alignment horizontal="right" vertical="center" wrapText="0"/>
    </x:xf>
    <x:xf numFmtId="202" fontId="5" fillId="18" borderId="0" xfId="0" applyNumberFormat="1" applyFont="1" applyFill="1" applyBorder="1" applyAlignment="1">
      <x:alignment horizontal="right" vertical="center" wrapText="0"/>
    </x:xf>
    <x:xf numFmtId="204" fontId="5" fillId="18" borderId="0" xfId="0" applyNumberFormat="1" applyFont="1" applyFill="1" applyBorder="1" applyAlignment="1">
      <x:alignment horizontal="right" vertical="center" wrapText="0"/>
    </x:xf>
    <x:xf numFmtId="0" fontId="5" fillId="8" borderId="0" xfId="0" applyNumberFormat="1" applyFont="1" applyFill="1" applyBorder="1" applyAlignment="1">
      <x:alignment horizontal="right" vertical="center" wrapText="0"/>
    </x:xf>
    <x:xf numFmtId="0" fontId="4" fillId="9" borderId="0" xfId="0" applyNumberFormat="1" applyFont="1" applyFill="1" applyBorder="1" applyAlignment="1">
      <x:alignment horizontal="right" vertical="center" wrapText="1"/>
    </x:xf>
    <x:xf numFmtId="201" fontId="5" fillId="18" borderId="0" xfId="0" applyNumberFormat="1" applyFont="1" applyFill="1" applyBorder="1" applyAlignment="1">
      <x:alignment horizontal="right" vertical="center" wrapText="0"/>
    </x:xf>
    <x:xf numFmtId="203" fontId="6" fillId="0" borderId="0" xfId="0" applyNumberFormat="1" applyFont="1" applyFill="1" applyBorder="1" applyAlignment="1">
      <x:alignment horizontal="right" vertical="center" wrapText="0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0"/>
    </x:xf>
    <x:xf numFmtId="0" fontId="11" fillId="0" borderId="0" xfId="0" applyNumberFormat="1" applyFont="1" applyFill="1" applyBorder="1" applyAlignment="1">
      <x:alignment vertical="center" wrapText="0"/>
    </x:xf>
    <x:xf numFmtId="0" fontId="12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0" fontId="11" fillId="19" borderId="0" xfId="0" applyNumberFormat="1" applyFont="1" applyFill="1" applyBorder="1" applyAlignment="1">
      <x:alignment vertical="center" wrapText="0"/>
    </x:xf>
    <x:xf numFmtId="0" fontId="14" fillId="19" borderId="0" xfId="0" applyNumberFormat="1" applyFont="1" applyFill="1" applyBorder="1" applyAlignment="1">
      <x:alignment vertical="center" wrapText="0"/>
    </x:xf>
    <x:xf numFmtId="0" fontId="14" fillId="19" borderId="18" xfId="0" applyNumberFormat="1" applyFont="1" applyFill="1" applyBorder="1" applyAlignment="1">
      <x:alignment vertical="center" wrapText="0"/>
    </x:xf>
    <x:xf numFmtId="0" fontId="14" fillId="19" borderId="18" xfId="0" applyNumberFormat="1" applyFont="1" applyFill="1" applyBorder="1" applyAlignment="1">
      <x:alignment vertical="center" wrapText="1"/>
    </x:xf>
    <x:xf numFmtId="0" fontId="14" fillId="19" borderId="18" xfId="0" applyNumberFormat="1" applyFont="1" applyFill="1" applyBorder="1" applyAlignment="1">
      <x:alignment horizontal="center" vertical="center" wrapText="1"/>
    </x:xf>
    <x:xf numFmtId="0" fontId="11" fillId="0" borderId="19" xfId="0" applyNumberFormat="1" applyFont="1" applyFill="1" applyBorder="1" applyAlignment="1">
      <x:alignment vertical="center" wrapText="0"/>
    </x:xf>
    <x:xf numFmtId="0" fontId="11" fillId="20" borderId="19" xfId="0" applyNumberFormat="1" applyFont="1" applyFill="1" applyBorder="1" applyAlignment="1">
      <x:alignment vertical="center" wrapText="0"/>
    </x:xf>
    <x:xf numFmtId="0" fontId="11" fillId="0" borderId="19" xfId="0" applyNumberFormat="1" applyFont="1" applyFill="1" applyBorder="1" applyAlignment="1">
      <x:alignment horizontal="right" vertical="center" wrapText="0"/>
    </x:xf>
    <x:xf numFmtId="201" fontId="11" fillId="0" borderId="19" xfId="0" applyNumberFormat="1" applyFont="1" applyFill="1" applyBorder="1" applyAlignment="1">
      <x:alignment horizontal="right" vertical="center" wrapText="0"/>
    </x:xf>
    <x:xf numFmtId="201" fontId="11" fillId="0" borderId="19" xfId="0" applyNumberFormat="1" applyFont="1" applyFill="1" applyBorder="1" applyAlignment="1">
      <x:alignment vertical="center" wrapText="0"/>
    </x:xf>
    <x:xf numFmtId="201" fontId="11" fillId="21" borderId="19" xfId="0" applyNumberFormat="1" applyFont="1" applyFill="1" applyBorder="1" applyAlignment="1">
      <x:alignment horizontal="right" vertical="center" wrapText="0"/>
    </x:xf>
    <x:xf numFmtId="201" fontId="11" fillId="0" borderId="20" xfId="0" applyNumberFormat="1" applyFont="1" applyFill="1" applyBorder="1" applyAlignment="1">
      <x:alignment horizontal="right" vertical="center" wrapText="0"/>
    </x:xf>
    <x:xf numFmtId="201" fontId="11" fillId="0" borderId="20" xfId="0" applyNumberFormat="1" applyFont="1" applyFill="1" applyBorder="1" applyAlignment="1">
      <x:alignment vertical="center" wrapText="0"/>
    </x:xf>
    <x:xf numFmtId="201" fontId="11" fillId="19" borderId="20" xfId="0" applyNumberFormat="1" applyFont="1" applyFill="1" applyBorder="1" applyAlignment="1">
      <x:alignment vertical="center" wrapText="0"/>
    </x:xf>
    <x:xf numFmtId="201" fontId="11" fillId="19" borderId="19" xfId="0" applyNumberFormat="1" applyFont="1" applyFill="1" applyBorder="1" applyAlignment="1">
      <x:alignment vertical="center" wrapText="0"/>
    </x:xf>
    <x:xf numFmtId="0" fontId="11" fillId="19" borderId="19" xfId="0" applyNumberFormat="1" applyFont="1" applyFill="1" applyBorder="1" applyAlignment="1">
      <x:alignment vertical="center" wrapText="0"/>
    </x:xf>
    <x:xf numFmtId="201" fontId="15" fillId="19" borderId="20" xfId="0" applyNumberFormat="1" applyFont="1" applyFill="1" applyBorder="1" applyAlignment="1">
      <x:alignment vertical="center" wrapText="0"/>
    </x:xf>
    <x:xf numFmtId="201" fontId="15" fillId="19" borderId="19" xfId="0" applyNumberFormat="1" applyFont="1" applyFill="1" applyBorder="1" applyAlignment="1">
      <x:alignment vertical="center" wrapText="0"/>
    </x:xf>
    <x:xf numFmtId="0" fontId="15" fillId="19" borderId="19" xfId="0" applyNumberFormat="1" applyFont="1" applyFill="1" applyBorder="1" applyAlignment="1">
      <x:alignment vertical="center" wrapText="0"/>
    </x:xf>
    <x:xf numFmtId="201" fontId="15" fillId="19" borderId="20" xfId="0" applyNumberFormat="1" applyFont="1" applyFill="1" applyBorder="1" applyAlignment="1">
      <x:alignment horizontal="right" vertical="center" wrapText="0"/>
    </x:xf>
    <x:xf numFmtId="201" fontId="15" fillId="19" borderId="19" xfId="0" applyNumberFormat="1" applyFont="1" applyFill="1" applyBorder="1" applyAlignment="1">
      <x:alignment horizontal="right" vertical="center" wrapText="0"/>
    </x:xf>
    <x:xf numFmtId="0" fontId="15" fillId="19" borderId="19" xfId="0" applyNumberFormat="1" applyFont="1" applyFill="1" applyBorder="1" applyAlignment="1">
      <x:alignment horizontal="right" vertical="center" wrapText="0"/>
    </x:xf>
    <x:xf numFmtId="203" fontId="15" fillId="19" borderId="19" xfId="0" applyNumberFormat="1" applyFont="1" applyFill="1" applyBorder="1" applyAlignment="1">
      <x:alignment horizontal="right" vertical="center" wrapText="0"/>
    </x:xf>
    <x:xf numFmtId="0" fontId="11" fillId="20" borderId="21" xfId="0" applyNumberFormat="1" applyFont="1" applyFill="1" applyBorder="1" applyAlignment="1">
      <x:alignment vertical="center" wrapText="0"/>
    </x:xf>
    <x:xf numFmtId="201" fontId="11" fillId="0" borderId="22" xfId="0" applyNumberFormat="1" applyFont="1" applyFill="1" applyBorder="1" applyAlignment="1">
      <x:alignment horizontal="right" vertical="center" wrapText="0"/>
    </x:xf>
    <x:xf numFmtId="201" fontId="11" fillId="0" borderId="21" xfId="0" applyNumberFormat="1" applyFont="1" applyFill="1" applyBorder="1" applyAlignment="1">
      <x:alignment horizontal="right" vertical="center" wrapText="0"/>
    </x:xf>
    <x:xf numFmtId="201" fontId="11" fillId="21" borderId="21" xfId="0" applyNumberFormat="1" applyFont="1" applyFill="1" applyBorder="1" applyAlignment="1">
      <x:alignment horizontal="right" vertical="center" wrapText="0"/>
    </x:xf>
    <x:xf numFmtId="201" fontId="15" fillId="19" borderId="22" xfId="0" applyNumberFormat="1" applyFont="1" applyFill="1" applyBorder="1" applyAlignment="1">
      <x:alignment horizontal="right" vertical="center" wrapText="0"/>
    </x:xf>
    <x:xf numFmtId="201" fontId="15" fillId="19" borderId="21" xfId="0" applyNumberFormat="1" applyFont="1" applyFill="1" applyBorder="1" applyAlignment="1">
      <x:alignment horizontal="right" vertical="center" wrapText="0"/>
    </x:xf>
    <x:xf numFmtId="203" fontId="15" fillId="19" borderId="21" xfId="0" applyNumberFormat="1" applyFont="1" applyFill="1" applyBorder="1" applyAlignment="1">
      <x:alignment horizontal="right" vertical="center" wrapText="0"/>
    </x:xf>
    <x:xf numFmtId="0" fontId="15" fillId="20" borderId="21" xfId="0" applyNumberFormat="1" applyFont="1" applyFill="1" applyBorder="1" applyAlignment="1">
      <x:alignment vertical="center" wrapText="0"/>
    </x:xf>
    <x:xf numFmtId="0" fontId="11" fillId="22" borderId="0" xfId="0" applyNumberFormat="1" applyFont="1" applyFill="1" applyBorder="1" applyAlignment="1">
      <x:alignment vertical="center" wrapText="0"/>
    </x:xf>
    <x:xf numFmtId="0" fontId="15" fillId="22" borderId="0" xfId="0" applyNumberFormat="1" applyFont="1" applyFill="1" applyBorder="1" applyAlignment="1">
      <x:alignment vertical="center" wrapText="0"/>
    </x:xf>
    <x:xf numFmtId="0" fontId="15" fillId="22" borderId="23" xfId="0" applyNumberFormat="1" applyFont="1" applyFill="1" applyBorder="1" applyAlignment="1">
      <x:alignment vertical="center" wrapText="0"/>
    </x:xf>
    <x:xf numFmtId="0" fontId="15" fillId="22" borderId="23" xfId="0" applyNumberFormat="1" applyFont="1" applyFill="1" applyBorder="1" applyAlignment="1">
      <x:alignment horizontal="right" vertical="center" wrapText="0"/>
    </x:xf>
    <x:xf numFmtId="0" fontId="15" fillId="22" borderId="23" xfId="0" applyNumberFormat="1" applyFont="1" applyFill="1" applyBorder="1" applyAlignment="1">
      <x:alignment horizontal="left" vertical="center" wrapText="0"/>
    </x:xf>
    <x:xf numFmtId="203" fontId="15" fillId="22" borderId="23" xfId="0" applyNumberFormat="1" applyFont="1" applyFill="1" applyBorder="1" applyAlignment="1">
      <x:alignment horizontal="right" vertical="center" wrapText="0"/>
    </x:xf>
    <x:xf numFmtId="0" fontId="16" fillId="0" borderId="0" xfId="0" applyNumberFormat="1" applyFont="1" applyFill="1" applyBorder="1" applyAlignment="1">
      <x:alignment vertical="center" wrapText="0"/>
    </x:xf>
    <x:xf numFmtId="201" fontId="8" fillId="23" borderId="0" xfId="0" applyNumberFormat="1" applyFont="1" applyFill="1" applyBorder="1" applyAlignment="1">
      <x:alignment horizontal="right" vertical="center" wrapText="0"/>
    </x:xf>
    <x:xf numFmtId="201" fontId="11" fillId="23" borderId="0" xfId="0" applyNumberFormat="1" applyFont="1" applyFill="1" applyBorder="1" applyAlignment="1">
      <x:alignment horizontal="right" vertical="center" wrapText="0"/>
    </x:xf>
    <x:xf numFmtId="201" fontId="8" fillId="24" borderId="0" xfId="0" applyNumberFormat="1" applyFont="1" applyFill="1" applyBorder="1" applyAlignment="1">
      <x:alignment horizontal="right" vertical="center" wrapText="0"/>
    </x:xf>
    <x:xf numFmtId="201" fontId="11" fillId="24" borderId="0" xfId="0" applyNumberFormat="1" applyFont="1" applyFill="1" applyBorder="1" applyAlignment="1">
      <x:alignment horizontal="right" vertical="center" wrapText="0"/>
    </x:xf>
    <x:xf numFmtId="0" fontId="17" fillId="0" borderId="0" xfId="0" applyNumberFormat="1" applyFont="1" applyFill="1" applyBorder="1" applyAlignment="1">
      <x:alignment vertical="center" wrapText="0"/>
    </x:xf>
    <x:xf numFmtId="0" fontId="17" fillId="0" borderId="24" xfId="0" applyNumberFormat="1" applyFont="1" applyFill="1" applyBorder="1" applyAlignment="1">
      <x:alignment vertical="center" wrapText="0"/>
    </x:xf>
    <x:xf numFmtId="0" fontId="15" fillId="0" borderId="0" xfId="0" applyNumberFormat="1" applyFont="1" applyFill="1" applyBorder="1" applyAlignment="1">
      <x:alignment vertical="center" wrapText="0"/>
    </x:xf>
    <x:xf numFmtId="0" fontId="11" fillId="25" borderId="0" xfId="0" applyNumberFormat="1" applyFont="1" applyFill="1" applyBorder="1" applyAlignment="1">
      <x:alignment vertical="center" wrapText="0"/>
    </x:xf>
    <x:xf numFmtId="0" fontId="14" fillId="25" borderId="0" xfId="0" applyNumberFormat="1" applyFont="1" applyFill="1" applyBorder="1" applyAlignment="1">
      <x:alignment vertical="center" wrapText="0"/>
    </x:xf>
    <x:xf numFmtId="0" fontId="14" fillId="25" borderId="18" xfId="0" applyNumberFormat="1" applyFont="1" applyFill="1" applyBorder="1" applyAlignment="1">
      <x:alignment vertical="center" wrapText="0"/>
    </x:xf>
    <x:xf numFmtId="0" fontId="14" fillId="25" borderId="18" xfId="0" applyNumberFormat="1" applyFont="1" applyFill="1" applyBorder="1" applyAlignment="1">
      <x:alignment vertical="center" wrapText="1"/>
    </x:xf>
    <x:xf numFmtId="0" fontId="14" fillId="25" borderId="18" xfId="0" applyNumberFormat="1" applyFont="1" applyFill="1" applyBorder="1" applyAlignment="1">
      <x:alignment horizontal="center" vertical="center" wrapText="1"/>
    </x:xf>
    <x:xf numFmtId="0" fontId="11" fillId="26" borderId="19" xfId="0" applyNumberFormat="1" applyFont="1" applyFill="1" applyBorder="1" applyAlignment="1">
      <x:alignment vertical="center" wrapText="0"/>
    </x:xf>
    <x:xf numFmtId="201" fontId="11" fillId="27" borderId="19" xfId="0" applyNumberFormat="1" applyFont="1" applyFill="1" applyBorder="1" applyAlignment="1">
      <x:alignment horizontal="right" vertical="center" wrapText="0"/>
    </x:xf>
    <x:xf numFmtId="201" fontId="11" fillId="25" borderId="20" xfId="0" applyNumberFormat="1" applyFont="1" applyFill="1" applyBorder="1" applyAlignment="1">
      <x:alignment vertical="center" wrapText="0"/>
    </x:xf>
    <x:xf numFmtId="201" fontId="11" fillId="25" borderId="19" xfId="0" applyNumberFormat="1" applyFont="1" applyFill="1" applyBorder="1" applyAlignment="1">
      <x:alignment vertical="center" wrapText="0"/>
    </x:xf>
    <x:xf numFmtId="0" fontId="11" fillId="25" borderId="19" xfId="0" applyNumberFormat="1" applyFont="1" applyFill="1" applyBorder="1" applyAlignment="1">
      <x:alignment vertical="center" wrapText="0"/>
    </x:xf>
    <x:xf numFmtId="201" fontId="15" fillId="25" borderId="20" xfId="0" applyNumberFormat="1" applyFont="1" applyFill="1" applyBorder="1" applyAlignment="1">
      <x:alignment vertical="center" wrapText="0"/>
    </x:xf>
    <x:xf numFmtId="201" fontId="15" fillId="25" borderId="19" xfId="0" applyNumberFormat="1" applyFont="1" applyFill="1" applyBorder="1" applyAlignment="1">
      <x:alignment vertical="center" wrapText="0"/>
    </x:xf>
    <x:xf numFmtId="0" fontId="15" fillId="25" borderId="19" xfId="0" applyNumberFormat="1" applyFont="1" applyFill="1" applyBorder="1" applyAlignment="1">
      <x:alignment vertical="center" wrapText="0"/>
    </x:xf>
    <x:xf numFmtId="201" fontId="15" fillId="25" borderId="20" xfId="0" applyNumberFormat="1" applyFont="1" applyFill="1" applyBorder="1" applyAlignment="1">
      <x:alignment horizontal="right" vertical="center" wrapText="0"/>
    </x:xf>
    <x:xf numFmtId="201" fontId="15" fillId="25" borderId="19" xfId="0" applyNumberFormat="1" applyFont="1" applyFill="1" applyBorder="1" applyAlignment="1">
      <x:alignment horizontal="right" vertical="center" wrapText="0"/>
    </x:xf>
    <x:xf numFmtId="0" fontId="15" fillId="25" borderId="19" xfId="0" applyNumberFormat="1" applyFont="1" applyFill="1" applyBorder="1" applyAlignment="1">
      <x:alignment horizontal="right" vertical="center" wrapText="0"/>
    </x:xf>
    <x:xf numFmtId="203" fontId="15" fillId="25" borderId="19" xfId="0" applyNumberFormat="1" applyFont="1" applyFill="1" applyBorder="1" applyAlignment="1">
      <x:alignment horizontal="right" vertical="center" wrapText="0"/>
    </x:xf>
    <x:xf numFmtId="0" fontId="11" fillId="26" borderId="21" xfId="0" applyNumberFormat="1" applyFont="1" applyFill="1" applyBorder="1" applyAlignment="1">
      <x:alignment vertical="center" wrapText="0"/>
    </x:xf>
    <x:xf numFmtId="201" fontId="11" fillId="27" borderId="21" xfId="0" applyNumberFormat="1" applyFont="1" applyFill="1" applyBorder="1" applyAlignment="1">
      <x:alignment horizontal="right" vertical="center" wrapText="0"/>
    </x:xf>
    <x:xf numFmtId="201" fontId="15" fillId="25" borderId="22" xfId="0" applyNumberFormat="1" applyFont="1" applyFill="1" applyBorder="1" applyAlignment="1">
      <x:alignment horizontal="right" vertical="center" wrapText="0"/>
    </x:xf>
    <x:xf numFmtId="201" fontId="15" fillId="25" borderId="21" xfId="0" applyNumberFormat="1" applyFont="1" applyFill="1" applyBorder="1" applyAlignment="1">
      <x:alignment horizontal="right" vertical="center" wrapText="0"/>
    </x:xf>
    <x:xf numFmtId="203" fontId="15" fillId="25" borderId="21" xfId="0" applyNumberFormat="1" applyFont="1" applyFill="1" applyBorder="1" applyAlignment="1">
      <x:alignment horizontal="right" vertical="center" wrapText="0"/>
    </x:xf>
    <x:xf numFmtId="0" fontId="15" fillId="26" borderId="21" xfId="0" applyNumberFormat="1" applyFont="1" applyFill="1" applyBorder="1" applyAlignment="1">
      <x:alignment vertical="center" wrapText="0"/>
    </x:xf>
    <x:xf numFmtId="0" fontId="11" fillId="28" borderId="0" xfId="0" applyNumberFormat="1" applyFont="1" applyFill="1" applyBorder="1" applyAlignment="1">
      <x:alignment vertical="center" wrapText="0"/>
    </x:xf>
    <x:xf numFmtId="0" fontId="15" fillId="28" borderId="0" xfId="0" applyNumberFormat="1" applyFont="1" applyFill="1" applyBorder="1" applyAlignment="1">
      <x:alignment vertical="center" wrapText="0"/>
    </x:xf>
    <x:xf numFmtId="0" fontId="15" fillId="28" borderId="23" xfId="0" applyNumberFormat="1" applyFont="1" applyFill="1" applyBorder="1" applyAlignment="1">
      <x:alignment vertical="center" wrapText="0"/>
    </x:xf>
    <x:xf numFmtId="0" fontId="15" fillId="28" borderId="23" xfId="0" applyNumberFormat="1" applyFont="1" applyFill="1" applyBorder="1" applyAlignment="1">
      <x:alignment horizontal="right" vertical="center" wrapText="0"/>
    </x:xf>
    <x:xf numFmtId="0" fontId="15" fillId="28" borderId="23" xfId="0" applyNumberFormat="1" applyFont="1" applyFill="1" applyBorder="1" applyAlignment="1">
      <x:alignment horizontal="left" vertical="center" wrapText="0"/>
    </x:xf>
    <x:xf numFmtId="203" fontId="15" fillId="28" borderId="23" xfId="0" applyNumberFormat="1" applyFont="1" applyFill="1" applyBorder="1" applyAlignment="1">
      <x:alignment horizontal="right" vertical="center" wrapText="0"/>
    </x:xf>
    <x:xf numFmtId="0" fontId="11" fillId="29" borderId="0" xfId="0" applyNumberFormat="1" applyFont="1" applyFill="1" applyBorder="1" applyAlignment="1">
      <x:alignment vertical="center" wrapText="0"/>
    </x:xf>
    <x:xf numFmtId="0" fontId="15" fillId="29" borderId="0" xfId="0" applyNumberFormat="1" applyFont="1" applyFill="1" applyBorder="1" applyAlignment="1">
      <x:alignment vertical="center" wrapText="0"/>
    </x:xf>
    <x:xf numFmtId="208" fontId="11" fillId="0" borderId="0" xfId="0" applyNumberFormat="1" applyFont="1" applyFill="1" applyBorder="1" applyAlignment="1">
      <x:alignment vertical="center" wrapText="0"/>
    </x:xf>
    <x:xf numFmtId="0" fontId="11" fillId="30" borderId="0" xfId="0" applyNumberFormat="1" applyFont="1" applyFill="1" applyBorder="1" applyAlignment="1">
      <x:alignment vertical="center" wrapText="0"/>
    </x:xf>
    <x:xf numFmtId="201" fontId="11" fillId="30" borderId="0" xfId="0" applyNumberFormat="1" applyFont="1" applyFill="1" applyBorder="1" applyAlignment="1">
      <x:alignment vertical="center" wrapText="0"/>
    </x:xf>
    <x:xf numFmtId="201" fontId="11" fillId="0" borderId="0" xfId="0" applyNumberFormat="1" applyFont="1" applyFill="1" applyBorder="1" applyAlignment="1">
      <x:alignment vertical="center" wrapText="0"/>
    </x:xf>
    <x:xf numFmtId="0" fontId="11" fillId="31" borderId="0" xfId="0" applyNumberFormat="1" applyFont="1" applyFill="1" applyBorder="1" applyAlignment="1">
      <x:alignment vertical="center" wrapText="0"/>
    </x:xf>
    <x:xf numFmtId="0" fontId="15" fillId="31" borderId="0" xfId="0" applyNumberFormat="1" applyFont="1" applyFill="1" applyBorder="1" applyAlignment="1">
      <x:alignment vertical="center" wrapText="0"/>
    </x:xf>
    <x:xf numFmtId="0" fontId="11" fillId="32" borderId="0" xfId="0" applyNumberFormat="1" applyFont="1" applyFill="1" applyBorder="1" applyAlignment="1">
      <x:alignment vertical="center" wrapText="0"/>
    </x:xf>
    <x:xf numFmtId="0" fontId="18" fillId="32" borderId="0" xfId="0" applyNumberFormat="1" applyFont="1" applyFill="1" applyBorder="1" applyAlignment="1">
      <x:alignment vertical="center" wrapText="0"/>
    </x:xf>
    <x:xf numFmtId="0" fontId="18" fillId="32" borderId="0" xfId="0" applyNumberFormat="1" applyFont="1" applyFill="1" applyBorder="1" applyAlignment="1">
      <x:alignment vertical="center" wrapText="1"/>
    </x:xf>
    <x:xf numFmtId="0" fontId="18" fillId="32" borderId="0" xfId="0" applyNumberFormat="1" applyFont="1" applyFill="1" applyBorder="1" applyAlignment="1">
      <x:alignment horizontal="center" vertical="center" wrapText="1"/>
    </x:xf>
    <x:xf numFmtId="0" fontId="11" fillId="0" borderId="25" xfId="0" applyNumberFormat="1" applyFont="1" applyFill="1" applyBorder="1" applyAlignment="1">
      <x:alignment vertical="center" wrapText="0"/>
    </x:xf>
    <x:xf numFmtId="0" fontId="11" fillId="30" borderId="25" xfId="0" applyNumberFormat="1" applyFont="1" applyFill="1" applyBorder="1" applyAlignment="1">
      <x:alignment vertical="center" wrapText="0"/>
    </x:xf>
    <x:xf numFmtId="0" fontId="15" fillId="30" borderId="25" xfId="0" applyNumberFormat="1" applyFont="1" applyFill="1" applyBorder="1" applyAlignment="1">
      <x:alignment vertical="center" wrapText="0"/>
    </x:xf>
    <x:xf numFmtId="0" fontId="11" fillId="0" borderId="25" xfId="0" applyNumberFormat="1" applyFont="1" applyFill="1" applyBorder="1" applyAlignment="1">
      <x:alignment horizontal="right" vertical="center" wrapText="0"/>
    </x:xf>
    <x:xf numFmtId="0" fontId="15" fillId="30" borderId="25" xfId="0" applyNumberFormat="1" applyFont="1" applyFill="1" applyBorder="1" applyAlignment="1">
      <x:alignment horizontal="right" vertical="center" wrapText="0"/>
    </x:xf>
    <x:xf numFmtId="201" fontId="11" fillId="0" borderId="25" xfId="0" applyNumberFormat="1" applyFont="1" applyFill="1" applyBorder="1" applyAlignment="1">
      <x:alignment horizontal="right" vertical="center" wrapText="0"/>
    </x:xf>
    <x:xf numFmtId="201" fontId="15" fillId="30" borderId="25" xfId="0" applyNumberFormat="1" applyFont="1" applyFill="1" applyBorder="1" applyAlignment="1">
      <x:alignment horizontal="right" vertical="center" wrapText="0"/>
    </x:xf>
    <x:xf numFmtId="209" fontId="11" fillId="0" borderId="25" xfId="0" applyNumberFormat="1" applyFont="1" applyFill="1" applyBorder="1" applyAlignment="1">
      <x:alignment horizontal="right" vertical="center" wrapText="0"/>
    </x:xf>
    <x:xf numFmtId="209" fontId="15" fillId="30" borderId="25" xfId="0" applyNumberFormat="1" applyFont="1" applyFill="1" applyBorder="1" applyAlignment="1">
      <x:alignment horizontal="right" vertical="center" wrapText="0"/>
    </x:xf>
    <x:xf numFmtId="210" fontId="11" fillId="0" borderId="25" xfId="0" applyNumberFormat="1" applyFont="1" applyFill="1" applyBorder="1" applyAlignment="1">
      <x:alignment horizontal="right" vertical="center" wrapText="0"/>
    </x:xf>
    <x:xf numFmtId="210" fontId="15" fillId="30" borderId="25" xfId="0" applyNumberFormat="1" applyFont="1" applyFill="1" applyBorder="1" applyAlignment="1">
      <x:alignment horizontal="right" vertical="center" wrapText="0"/>
    </x:xf>
    <x:xf numFmtId="202" fontId="11" fillId="0" borderId="25" xfId="0" applyNumberFormat="1" applyFont="1" applyFill="1" applyBorder="1" applyAlignment="1">
      <x:alignment horizontal="right" vertical="center" wrapText="0"/>
    </x:xf>
    <x:xf numFmtId="202" fontId="15" fillId="30" borderId="25" xfId="0" applyNumberFormat="1" applyFont="1" applyFill="1" applyBorder="1" applyAlignment="1">
      <x:alignment horizontal="right" vertical="center" wrapText="0"/>
    </x:xf>
    <x:xf numFmtId="0" fontId="11" fillId="33" borderId="0" xfId="0" applyNumberFormat="1" applyFont="1" applyFill="1" applyBorder="1" applyAlignment="1">
      <x:alignment vertical="center" wrapText="0"/>
    </x:xf>
    <x:xf numFmtId="0" fontId="14" fillId="33" borderId="0" xfId="0" applyNumberFormat="1" applyFont="1" applyFill="1" applyBorder="1" applyAlignment="1">
      <x:alignment vertical="center" wrapText="0"/>
    </x:xf>
    <x:xf numFmtId="0" fontId="14" fillId="33" borderId="18" xfId="0" applyNumberFormat="1" applyFont="1" applyFill="1" applyBorder="1" applyAlignment="1">
      <x:alignment vertical="center" wrapText="0"/>
    </x:xf>
    <x:xf numFmtId="0" fontId="14" fillId="33" borderId="18" xfId="0" applyNumberFormat="1" applyFont="1" applyFill="1" applyBorder="1" applyAlignment="1">
      <x:alignment vertical="center" wrapText="1"/>
    </x:xf>
    <x:xf numFmtId="0" fontId="14" fillId="33" borderId="18" xfId="0" applyNumberFormat="1" applyFont="1" applyFill="1" applyBorder="1" applyAlignment="1">
      <x:alignment horizontal="center" vertical="center" wrapText="1"/>
    </x:xf>
    <x:xf numFmtId="0" fontId="11" fillId="34" borderId="19" xfId="0" applyNumberFormat="1" applyFont="1" applyFill="1" applyBorder="1" applyAlignment="1">
      <x:alignment vertical="center" wrapText="0"/>
    </x:xf>
    <x:xf numFmtId="201" fontId="11" fillId="35" borderId="19" xfId="0" applyNumberFormat="1" applyFont="1" applyFill="1" applyBorder="1" applyAlignment="1">
      <x:alignment horizontal="right" vertical="center" wrapText="0"/>
    </x:xf>
    <x:xf numFmtId="201" fontId="11" fillId="33" borderId="20" xfId="0" applyNumberFormat="1" applyFont="1" applyFill="1" applyBorder="1" applyAlignment="1">
      <x:alignment vertical="center" wrapText="0"/>
    </x:xf>
    <x:xf numFmtId="201" fontId="11" fillId="33" borderId="19" xfId="0" applyNumberFormat="1" applyFont="1" applyFill="1" applyBorder="1" applyAlignment="1">
      <x:alignment vertical="center" wrapText="0"/>
    </x:xf>
    <x:xf numFmtId="0" fontId="11" fillId="33" borderId="19" xfId="0" applyNumberFormat="1" applyFont="1" applyFill="1" applyBorder="1" applyAlignment="1">
      <x:alignment vertical="center" wrapText="0"/>
    </x:xf>
    <x:xf numFmtId="201" fontId="15" fillId="33" borderId="20" xfId="0" applyNumberFormat="1" applyFont="1" applyFill="1" applyBorder="1" applyAlignment="1">
      <x:alignment vertical="center" wrapText="0"/>
    </x:xf>
    <x:xf numFmtId="201" fontId="15" fillId="33" borderId="19" xfId="0" applyNumberFormat="1" applyFont="1" applyFill="1" applyBorder="1" applyAlignment="1">
      <x:alignment vertical="center" wrapText="0"/>
    </x:xf>
    <x:xf numFmtId="0" fontId="15" fillId="33" borderId="19" xfId="0" applyNumberFormat="1" applyFont="1" applyFill="1" applyBorder="1" applyAlignment="1">
      <x:alignment vertical="center" wrapText="0"/>
    </x:xf>
    <x:xf numFmtId="201" fontId="15" fillId="33" borderId="20" xfId="0" applyNumberFormat="1" applyFont="1" applyFill="1" applyBorder="1" applyAlignment="1">
      <x:alignment horizontal="right" vertical="center" wrapText="0"/>
    </x:xf>
    <x:xf numFmtId="201" fontId="15" fillId="33" borderId="19" xfId="0" applyNumberFormat="1" applyFont="1" applyFill="1" applyBorder="1" applyAlignment="1">
      <x:alignment horizontal="right" vertical="center" wrapText="0"/>
    </x:xf>
    <x:xf numFmtId="0" fontId="15" fillId="33" borderId="19" xfId="0" applyNumberFormat="1" applyFont="1" applyFill="1" applyBorder="1" applyAlignment="1">
      <x:alignment horizontal="right" vertical="center" wrapText="0"/>
    </x:xf>
    <x:xf numFmtId="203" fontId="15" fillId="33" borderId="19" xfId="0" applyNumberFormat="1" applyFont="1" applyFill="1" applyBorder="1" applyAlignment="1">
      <x:alignment horizontal="right" vertical="center" wrapText="0"/>
    </x:xf>
    <x:xf numFmtId="0" fontId="11" fillId="34" borderId="21" xfId="0" applyNumberFormat="1" applyFont="1" applyFill="1" applyBorder="1" applyAlignment="1">
      <x:alignment vertical="center" wrapText="0"/>
    </x:xf>
    <x:xf numFmtId="201" fontId="11" fillId="35" borderId="21" xfId="0" applyNumberFormat="1" applyFont="1" applyFill="1" applyBorder="1" applyAlignment="1">
      <x:alignment horizontal="right" vertical="center" wrapText="0"/>
    </x:xf>
    <x:xf numFmtId="201" fontId="15" fillId="33" borderId="22" xfId="0" applyNumberFormat="1" applyFont="1" applyFill="1" applyBorder="1" applyAlignment="1">
      <x:alignment horizontal="right" vertical="center" wrapText="0"/>
    </x:xf>
    <x:xf numFmtId="201" fontId="15" fillId="33" borderId="21" xfId="0" applyNumberFormat="1" applyFont="1" applyFill="1" applyBorder="1" applyAlignment="1">
      <x:alignment horizontal="right" vertical="center" wrapText="0"/>
    </x:xf>
    <x:xf numFmtId="203" fontId="15" fillId="33" borderId="21" xfId="0" applyNumberFormat="1" applyFont="1" applyFill="1" applyBorder="1" applyAlignment="1">
      <x:alignment horizontal="right" vertical="center" wrapText="0"/>
    </x:xf>
    <x:xf numFmtId="0" fontId="15" fillId="34" borderId="21" xfId="0" applyNumberFormat="1" applyFont="1" applyFill="1" applyBorder="1" applyAlignment="1">
      <x:alignment vertical="center" wrapText="0"/>
    </x:xf>
    <x:xf numFmtId="0" fontId="11" fillId="36" borderId="0" xfId="0" applyNumberFormat="1" applyFont="1" applyFill="1" applyBorder="1" applyAlignment="1">
      <x:alignment vertical="center" wrapText="0"/>
    </x:xf>
    <x:xf numFmtId="0" fontId="15" fillId="36" borderId="0" xfId="0" applyNumberFormat="1" applyFont="1" applyFill="1" applyBorder="1" applyAlignment="1">
      <x:alignment vertical="center" wrapText="0"/>
    </x:xf>
    <x:xf numFmtId="0" fontId="15" fillId="36" borderId="23" xfId="0" applyNumberFormat="1" applyFont="1" applyFill="1" applyBorder="1" applyAlignment="1">
      <x:alignment vertical="center" wrapText="0"/>
    </x:xf>
    <x:xf numFmtId="0" fontId="15" fillId="36" borderId="23" xfId="0" applyNumberFormat="1" applyFont="1" applyFill="1" applyBorder="1" applyAlignment="1">
      <x:alignment horizontal="right" vertical="center" wrapText="0"/>
    </x:xf>
    <x:xf numFmtId="0" fontId="15" fillId="36" borderId="23" xfId="0" applyNumberFormat="1" applyFont="1" applyFill="1" applyBorder="1" applyAlignment="1">
      <x:alignment horizontal="left" vertical="center" wrapText="0"/>
    </x:xf>
    <x:xf numFmtId="203" fontId="15" fillId="36" borderId="23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63">
    <x:dxf>
      <x:font>
        <x:b/>
        <x:color rgb="FF9B2C2C"/>
      </x:font>
      <x:fill>
        <x:patternFill>
          <x:bgColor rgb="FFFCE8E6"/>
        </x:patternFill>
      </x:fill>
    </x:dxf>
    <x:dxf>
      <x:font>
        <x:b/>
        <x:color rgb="FF9B2C2C"/>
      </x:font>
      <x:fill>
        <x:patternFill>
          <x:bgColor rgb="FFFCE8E6"/>
        </x:patternFill>
      </x:fill>
    </x:dxf>
    <x:dxf>
      <x:font>
        <x:b/>
        <x:color rgb="FF245A97"/>
      </x:font>
    </x:dxf>
    <x:dxf>
      <x:font>
        <x:b/>
        <x:color rgb="FF6B458D"/>
      </x:font>
    </x:dxf>
    <x:dxf>
      <x:font>
        <x:b/>
        <x:color rgb="FF245A97"/>
      </x:font>
    </x:dxf>
    <x:dxf>
      <x:font>
        <x:b/>
        <x:color rgb="FF6B458D"/>
      </x:font>
    </x:dxf>
    <x:dxf>
      <x:font>
        <x:b/>
        <x:color rgb="FF245A97"/>
      </x:font>
    </x:dxf>
    <x:dxf>
      <x:font>
        <x:b/>
        <x:color rgb="FF6B458D"/>
      </x:font>
    </x:dxf>
    <x:dxf>
      <x:font>
        <x:b/>
        <x:color rgb="FF245A97"/>
      </x:font>
    </x:dxf>
    <x:dxf>
      <x:font>
        <x:b/>
        <x:color rgb="FF6B458D"/>
      </x:font>
    </x:dxf>
    <x:dxf>
      <x:font>
        <x:b/>
        <x:color rgb="FF245A97"/>
      </x:font>
    </x:dxf>
    <x:dxf>
      <x:font>
        <x:b/>
        <x:color rgb="FF6B458D"/>
      </x:font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B42318"/>
      </x:font>
      <x:fill>
        <x:patternFill>
          <x:bgColor rgb="FFFCE4D6"/>
        </x:patternFill>
      </x:fill>
    </x:dxf>
    <x:dxf>
      <x:font>
        <x:b/>
        <x:color rgb="FF27633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f643c141742b3" /><Relationship Type="http://schemas.openxmlformats.org/officeDocument/2006/relationships/theme" Target="/xl/theme/theme1.xml" Id="R595a9d719d894c6c" /><Relationship Type="http://schemas.openxmlformats.org/officeDocument/2006/relationships/sharedStrings" Target="/xl/sharedStrings.xml" Id="Rb79b6abb2dfd458e" /><Relationship Type="http://schemas.openxmlformats.org/officeDocument/2006/relationships/worksheet" Target="/xl/worksheets/sheet1.xml" Id="R08c2c0ea4d594df5" /><Relationship Type="http://schemas.openxmlformats.org/officeDocument/2006/relationships/worksheet" Target="/xl/worksheets/sheet2.xml" Id="R126d5d1e9cd94f02" /><Relationship Type="http://schemas.openxmlformats.org/officeDocument/2006/relationships/worksheet" Target="/xl/worksheets/sheet3.xml" Id="R3ee3ad7f4e164763" /><Relationship Type="http://schemas.openxmlformats.org/officeDocument/2006/relationships/worksheet" Target="/xl/worksheets/sheet4.xml" Id="R09af1e5db6c3420b" /><Relationship Type="http://schemas.openxmlformats.org/officeDocument/2006/relationships/worksheet" Target="/xl/worksheets/sheet5.xml" Id="Rce5560209dd947d3" /><Relationship Type="http://schemas.openxmlformats.org/officeDocument/2006/relationships/worksheet" Target="/xl/worksheets/sheet6.xml" Id="R30a0df7aca224033" /><Relationship Type="http://schemas.openxmlformats.org/officeDocument/2006/relationships/worksheet" Target="/xl/worksheets/sheet7.xml" Id="R09347813a9384bf8" /><Relationship Type="http://schemas.openxmlformats.org/officeDocument/2006/relationships/worksheet" Target="/xl/worksheets/sheet8.xml" Id="R825eb33cb43b4a84" /><Relationship Type="http://schemas.openxmlformats.org/officeDocument/2006/relationships/worksheet" Target="/xl/worksheets/sheet9.xml" Id="R70f65337eef94363" /><Relationship Type="http://schemas.openxmlformats.org/officeDocument/2006/relationships/worksheet" Target="/xl/worksheets/sheet10.xml" Id="R7baf8dbfbfe745ce" /><Relationship Type="http://schemas.openxmlformats.org/officeDocument/2006/relationships/worksheet" Target="/xl/worksheets/sheet11.xml" Id="R03ac4fff97ad4166" /><Relationship Type="http://schemas.openxmlformats.org/officeDocument/2006/relationships/worksheet" Target="/xl/worksheets/sheet12.xml" Id="Re17589f072b94755" /><Relationship Type="http://schemas.openxmlformats.org/officeDocument/2006/relationships/worksheet" Target="/xl/worksheets/sheet13.xml" Id="Ra8d7a721178e4933" /><Relationship Type="http://schemas.openxmlformats.org/officeDocument/2006/relationships/worksheet" Target="/xl/worksheets/sheet14.xml" Id="R63d34c30f87d4814" /><Relationship Type="http://schemas.openxmlformats.org/officeDocument/2006/relationships/worksheet" Target="/xl/worksheets/sheet15.xml" Id="R76b3f1b50d1c4c9c" /><Relationship Type="http://schemas.openxmlformats.org/officeDocument/2006/relationships/worksheet" Target="/xl/worksheets/sheet16.xml" Id="R5738842f6e11494e" /><Relationship Type="http://schemas.openxmlformats.org/officeDocument/2006/relationships/worksheet" Target="/xl/worksheets/sheet17.xml" Id="R1eea2881ee224d33" /></Relationships>
</file>

<file path=xl/tables/table1.xml><?xml version="1.0" encoding="utf-8"?>
<x:table xmlns:x="http://schemas.openxmlformats.org/spreadsheetml/2006/main" id="1" name="BaselineSocialScienceCourses" displayName="BaselineSocialScienceCourses" ref="B7:L146" headerRowCount="1" totalsRowCount="0" totalsRowShown="0">
  <x:autoFilter ref="B7:L146"/>
  <x:tableColumns count="11">
    <x:tableColumn id="1" name="학년도"/>
    <x:tableColumn id="2" name="학기"/>
    <x:tableColumn id="3" name="학년"/>
    <x:tableColumn id="4" name="입학년도"/>
    <x:tableColumn id="5" name="시수 분류"/>
    <x:tableColumn id="6" name="담당 교과"/>
    <x:tableColumn id="7" name="과목명"/>
    <x:tableColumn id="8" name="반당 시수"/>
    <x:tableColumn id="9" name="개설 반 수"/>
    <x:tableColumn id="10" name="주당 시수"/>
    <x:tableColumn id="11" name="산정 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b468aa98cced44fb" /></Relationships>
</file>

<file path=xl/worksheets/sheet1.xml><?xml version="1.0" encoding="utf-8"?>
<x:worksheet xmlns:x="http://schemas.openxmlformats.org/spreadsheetml/2006/main">
  <x:sheetPr>
    <x:tabColor rgb="FF305D82"/>
    <x:pageSetUpPr fitToPage="0" autoPageBreaks="0"/>
  </x:sheetPr>
  <x:sheetViews>
    <x:sheetView showGridLines="0" workbookViewId="0" tabSelected="1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2027학년도 사회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기존안·변경안 공통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(13학급)</x:v>
      </x:c>
      <x:c r="I4" s="282"/>
      <x:c r="J4" s="282"/>
      <x:c r="K4" s="282" t="str">
        <x:v>3학년 (13학급)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역사</x:v>
      </x:c>
      <x:c r="C6" s="295" t="str">
        <x:f>'2027 배당표'!C14</x:f>
        <x:v>자체</x:v>
      </x:c>
      <x:c r="D6" s="295" t="str">
        <x:f>'2027 배당표'!D14</x:f>
        <x:v>한국사1</x:v>
      </x:c>
      <x:c r="E6" s="203" t="n">
        <x:f>'2027 배당표'!E14</x:f>
        <x:v>3</x:v>
      </x:c>
      <x:c r="F6" s="204" t="n">
        <x:f>'2027 배당표'!F14</x:f>
        <x:v>12</x:v>
      </x:c>
      <x:c r="G6" s="296" t="n">
        <x:f>'2027 배당표'!G14</x:f>
        <x:v>36</x:v>
      </x:c>
      <x:c r="H6" s="203"/>
      <x:c r="I6" s="204"/>
      <x:c r="J6" s="296"/>
      <x:c r="K6" s="203"/>
      <x:c r="L6" s="204"/>
      <x:c r="M6" s="296"/>
      <x:c r="N6" s="297" t="n">
        <x:f>'2027 배당표'!W13</x:f>
        <x:v>3</x:v>
      </x:c>
      <x:c r="O6" s="298" t="n">
        <x:f>'2027 배당표'!X13</x:f>
        <x:v>48</x:v>
      </x:c>
      <x:c r="P6" s="298" t="n">
        <x:f>'2027 배당표'!Y13</x:f>
        <x:v>12</x:v>
      </x:c>
      <x:c r="Q6" s="298" t="n">
        <x:f>'2027 배당표'!Z13</x:f>
        <x:v>60</x:v>
      </x:c>
      <x:c r="R6" s="299" t="n">
        <x:f>'2027 배당표'!AA13</x:f>
        <x:v>20</x:v>
      </x:c>
    </x:row>
    <x:row r="7" ht="17" customHeight="1">
      <x:c r="A7" s="176"/>
      <x:c r="B7" s="283"/>
      <x:c r="C7" s="283" t="str">
        <x:f>'2027 배당표'!C15</x:f>
        <x:v>자체</x:v>
      </x:c>
      <x:c r="D7" s="283" t="str">
        <x:f>'2027 배당표'!D15</x:f>
        <x:v>세계사</x:v>
      </x:c>
      <x:c r="E7" s="190"/>
      <x:c r="F7" s="187"/>
      <x:c r="G7" s="284"/>
      <x:c r="H7" s="190" t="n">
        <x:f>'2027 배당표'!K15</x:f>
        <x:v>3</x:v>
      </x:c>
      <x:c r="I7" s="187" t="n">
        <x:f>'2027 배당표'!L15</x:f>
        <x:v>4</x:v>
      </x:c>
      <x:c r="J7" s="284" t="n">
        <x:f>'2027 배당표'!M15</x:f>
        <x:v>12</x:v>
      </x:c>
      <x:c r="K7" s="190"/>
      <x:c r="L7" s="187"/>
      <x:c r="M7" s="284"/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'2027 배당표'!C23</x:f>
        <x:v>융합</x:v>
      </x:c>
      <x:c r="D8" s="283" t="str">
        <x:f>'2027 배당표'!D23</x:f>
        <x:v>역사로 탐구하는 현대 세계</x:v>
      </x:c>
      <x:c r="E8" s="190"/>
      <x:c r="F8" s="187"/>
      <x:c r="G8" s="284"/>
      <x:c r="H8" s="190"/>
      <x:c r="I8" s="187"/>
      <x:c r="J8" s="284"/>
      <x:c r="K8" s="190" t="n">
        <x:f>'2027 배당표'!Q23</x:f>
        <x:v>3</x:v>
      </x:c>
      <x:c r="L8" s="187" t="n">
        <x:f>'2027 배당표'!R23</x:f>
        <x:v>4</x:v>
      </x:c>
      <x:c r="M8" s="284" t="n">
        <x:f>'2027 배당표'!S23</x:f>
        <x:v>12</x:v>
      </x:c>
      <x:c r="N8" s="191"/>
      <x:c r="O8" s="188"/>
      <x:c r="P8" s="188"/>
      <x:c r="Q8" s="188"/>
      <x:c r="R8" s="184"/>
    </x:row>
    <x:row r="9" ht="17" customHeight="1">
      <x:c r="A9" s="176"/>
      <x:c r="B9" s="300" t="str">
        <x:v>일반사회</x:v>
      </x:c>
      <x:c r="C9" s="295" t="str">
        <x:f>'2027 배당표'!C27</x:f>
        <x:v>자체</x:v>
      </x:c>
      <x:c r="D9" s="295" t="str">
        <x:f>'2027 배당표'!D27</x:f>
        <x:v>사회와 문화</x:v>
      </x:c>
      <x:c r="E9" s="203"/>
      <x:c r="F9" s="204"/>
      <x:c r="G9" s="296"/>
      <x:c r="H9" s="203" t="n">
        <x:f>'2027 배당표'!K27</x:f>
        <x:v>3</x:v>
      </x:c>
      <x:c r="I9" s="204" t="n">
        <x:f>'2027 배당표'!L27</x:f>
        <x:v>8</x:v>
      </x:c>
      <x:c r="J9" s="296" t="n">
        <x:f>'2027 배당표'!M27</x:f>
        <x:v>24</x:v>
      </x:c>
      <x:c r="K9" s="203"/>
      <x:c r="L9" s="204"/>
      <x:c r="M9" s="296"/>
      <x:c r="N9" s="297" t="n">
        <x:f>'2027 배당표'!W26</x:f>
        <x:v>4</x:v>
      </x:c>
      <x:c r="O9" s="298" t="n">
        <x:f>'2027 배당표'!X26</x:f>
        <x:v>39</x:v>
      </x:c>
      <x:c r="P9" s="298" t="n">
        <x:f>'2027 배당표'!Y26</x:f>
        <x:v>37</x:v>
      </x:c>
      <x:c r="Q9" s="298" t="n">
        <x:f>'2027 배당표'!Z26</x:f>
        <x:v>76</x:v>
      </x:c>
      <x:c r="R9" s="299" t="n">
        <x:f>'2027 배당표'!AA26</x:f>
        <x:v>19</x:v>
      </x:c>
    </x:row>
    <x:row r="10" ht="17" customHeight="1">
      <x:c r="A10" s="176"/>
      <x:c r="B10" s="283"/>
      <x:c r="C10" s="283" t="str">
        <x:f>'2027 배당표'!C29</x:f>
        <x:v>자체</x:v>
      </x:c>
      <x:c r="D10" s="283" t="str">
        <x:f>'2027 배당표'!D29</x:f>
        <x:v>국제 관계의 이해</x:v>
      </x:c>
      <x:c r="E10" s="190"/>
      <x:c r="F10" s="187"/>
      <x:c r="G10" s="284"/>
      <x:c r="H10" s="190"/>
      <x:c r="I10" s="187"/>
      <x:c r="J10" s="284"/>
      <x:c r="K10" s="190" t="n">
        <x:f>'2027 배당표'!Q29</x:f>
        <x:v>3</x:v>
      </x:c>
      <x:c r="L10" s="187" t="n">
        <x:f>'2027 배당표'!R29</x:f>
        <x:v>5</x:v>
      </x:c>
      <x:c r="M10" s="284" t="n">
        <x:f>'2027 배당표'!S29</x:f>
        <x:v>15</x:v>
      </x:c>
      <x:c r="N10" s="191"/>
      <x:c r="O10" s="188"/>
      <x:c r="P10" s="188"/>
      <x:c r="Q10" s="188"/>
      <x:c r="R10" s="184"/>
    </x:row>
    <x:row r="11" ht="17" customHeight="1">
      <x:c r="A11" s="176"/>
      <x:c r="B11" s="283"/>
      <x:c r="C11" s="283" t="str">
        <x:f>'2027 배당표'!C32</x:f>
        <x:v>통합</x:v>
      </x:c>
      <x:c r="D11" s="283" t="str">
        <x:f>'2027 배당표'!D32</x:f>
        <x:v>통합사회1</x:v>
      </x:c>
      <x:c r="E11" s="190" t="n">
        <x:f>'2027 배당표'!E32</x:f>
        <x:v>4</x:v>
      </x:c>
      <x:c r="F11" s="187" t="n">
        <x:f>'2027 배당표'!F32</x:f>
        <x:v>7</x:v>
      </x:c>
      <x:c r="G11" s="284" t="n">
        <x:f>'2027 배당표'!G32</x:f>
        <x:v>28</x:v>
      </x:c>
      <x:c r="H11" s="190"/>
      <x:c r="I11" s="187"/>
      <x:c r="J11" s="284"/>
      <x:c r="K11" s="190"/>
      <x:c r="L11" s="187"/>
      <x:c r="M11" s="284"/>
      <x:c r="N11" s="191"/>
      <x:c r="O11" s="188"/>
      <x:c r="P11" s="188"/>
      <x:c r="Q11" s="188"/>
      <x:c r="R11" s="184"/>
    </x:row>
    <x:row r="12" ht="17" customHeight="1">
      <x:c r="A12" s="176"/>
      <x:c r="B12" s="283"/>
      <x:c r="C12" s="283" t="str">
        <x:f>'2027 배당표'!C33</x:f>
        <x:v>융합</x:v>
      </x:c>
      <x:c r="D12" s="283" t="str">
        <x:f>'2027 배당표'!D33</x:f>
        <x:v>금융과 경제생활</x:v>
      </x:c>
      <x:c r="E12" s="190"/>
      <x:c r="F12" s="187"/>
      <x:c r="G12" s="284"/>
      <x:c r="H12" s="190"/>
      <x:c r="I12" s="187"/>
      <x:c r="J12" s="284"/>
      <x:c r="K12" s="190" t="n">
        <x:f>'2027 배당표'!Q33</x:f>
        <x:v>3</x:v>
      </x:c>
      <x:c r="L12" s="187" t="n">
        <x:f>'2027 배당표'!R33</x:f>
        <x:v>1</x:v>
      </x:c>
      <x:c r="M12" s="284" t="n">
        <x:f>'2027 배당표'!S33</x:f>
        <x:v>3</x:v>
      </x:c>
      <x:c r="N12" s="191"/>
      <x:c r="O12" s="188"/>
      <x:c r="P12" s="188"/>
      <x:c r="Q12" s="188"/>
      <x:c r="R12" s="184"/>
    </x:row>
    <x:row r="13" ht="17" customHeight="1">
      <x:c r="A13" s="176"/>
      <x:c r="B13" s="283"/>
      <x:c r="C13" s="283" t="str">
        <x:f>'2027 배당표'!C35</x:f>
        <x:v>융합</x:v>
      </x:c>
      <x:c r="D13" s="283" t="str">
        <x:f>'2027 배당표'!D35</x:f>
        <x:v>사회문제 탐구</x:v>
      </x:c>
      <x:c r="E13" s="190"/>
      <x:c r="F13" s="187"/>
      <x:c r="G13" s="284"/>
      <x:c r="H13" s="190"/>
      <x:c r="I13" s="187"/>
      <x:c r="J13" s="284"/>
      <x:c r="K13" s="190" t="n">
        <x:f>'2027 배당표'!Q35</x:f>
        <x:v>3</x:v>
      </x:c>
      <x:c r="L13" s="187" t="n">
        <x:f>'2027 배당표'!R35</x:f>
        <x:v>2</x:v>
      </x:c>
      <x:c r="M13" s="284" t="n">
        <x:f>'2027 배당표'!S35</x:f>
        <x:v>6</x:v>
      </x:c>
      <x:c r="N13" s="191"/>
      <x:c r="O13" s="188"/>
      <x:c r="P13" s="188"/>
      <x:c r="Q13" s="188"/>
      <x:c r="R13" s="184"/>
    </x:row>
    <x:row r="14" ht="17" customHeight="1">
      <x:c r="A14" s="176"/>
      <x:c r="B14" s="300" t="str">
        <x:v>지리</x:v>
      </x:c>
      <x:c r="C14" s="295" t="str">
        <x:f>'2027 배당표'!C41</x:f>
        <x:v>자체</x:v>
      </x:c>
      <x:c r="D14" s="295" t="str">
        <x:f>'2027 배당표'!D41</x:f>
        <x:v>세계시민과 지리</x:v>
      </x:c>
      <x:c r="E14" s="203"/>
      <x:c r="F14" s="204"/>
      <x:c r="G14" s="296"/>
      <x:c r="H14" s="203" t="n">
        <x:f>'2027 배당표'!K41</x:f>
        <x:v>3</x:v>
      </x:c>
      <x:c r="I14" s="204" t="n">
        <x:f>'2027 배당표'!L41</x:f>
        <x:v>3</x:v>
      </x:c>
      <x:c r="J14" s="296" t="n">
        <x:f>'2027 배당표'!M41</x:f>
        <x:v>9</x:v>
      </x:c>
      <x:c r="K14" s="203"/>
      <x:c r="L14" s="204"/>
      <x:c r="M14" s="296"/>
      <x:c r="N14" s="297" t="n">
        <x:f>'2027 배당표'!W40</x:f>
        <x:v>2</x:v>
      </x:c>
      <x:c r="O14" s="298" t="n">
        <x:f>'2027 배당표'!X40</x:f>
        <x:v>24</x:v>
      </x:c>
      <x:c r="P14" s="298" t="n">
        <x:f>'2027 배당표'!Y40</x:f>
        <x:v>14</x:v>
      </x:c>
      <x:c r="Q14" s="298" t="n">
        <x:f>'2027 배당표'!Z40</x:f>
        <x:v>38</x:v>
      </x:c>
      <x:c r="R14" s="299" t="n">
        <x:f>'2027 배당표'!AA40</x:f>
        <x:v>19</x:v>
      </x:c>
    </x:row>
    <x:row r="15" ht="17" customHeight="1">
      <x:c r="A15" s="176"/>
      <x:c r="B15" s="283"/>
      <x:c r="C15" s="283" t="str">
        <x:f>'2027 배당표'!C42</x:f>
        <x:v>자체</x:v>
      </x:c>
      <x:c r="D15" s="283" t="str">
        <x:f>'2027 배당표'!D42</x:f>
        <x:v>도시의 미래 탐구</x:v>
      </x:c>
      <x:c r="E15" s="190"/>
      <x:c r="F15" s="187"/>
      <x:c r="G15" s="284"/>
      <x:c r="H15" s="190"/>
      <x:c r="I15" s="187"/>
      <x:c r="J15" s="284"/>
      <x:c r="K15" s="190" t="n">
        <x:f>'2027 배당표'!Q42</x:f>
        <x:v>3</x:v>
      </x:c>
      <x:c r="L15" s="187" t="n">
        <x:f>'2027 배당표'!R42</x:f>
        <x:v>5</x:v>
      </x:c>
      <x:c r="M15" s="284" t="n">
        <x:f>'2027 배당표'!S42</x:f>
        <x:v>15</x:v>
      </x:c>
      <x:c r="N15" s="191"/>
      <x:c r="O15" s="188"/>
      <x:c r="P15" s="188"/>
      <x:c r="Q15" s="188"/>
      <x:c r="R15" s="184"/>
    </x:row>
    <x:row r="16" ht="17" customHeight="1">
      <x:c r="A16" s="176"/>
      <x:c r="B16" s="283"/>
      <x:c r="C16" s="283" t="str">
        <x:f>'2027 배당표'!C44</x:f>
        <x:v>통합</x:v>
      </x:c>
      <x:c r="D16" s="283" t="str">
        <x:f>'2027 배당표'!D44</x:f>
        <x:v>통합사회1</x:v>
      </x:c>
      <x:c r="E16" s="190" t="n">
        <x:f>'2027 배당표'!E44</x:f>
        <x:v>4</x:v>
      </x:c>
      <x:c r="F16" s="187" t="n">
        <x:f>'2027 배당표'!F44</x:f>
        <x:v>2</x:v>
      </x:c>
      <x:c r="G16" s="284" t="n">
        <x:f>'2027 배당표'!G44</x:f>
        <x:v>8</x:v>
      </x:c>
      <x:c r="H16" s="190"/>
      <x:c r="I16" s="187"/>
      <x:c r="J16" s="284"/>
      <x:c r="K16" s="190"/>
      <x:c r="L16" s="187"/>
      <x:c r="M16" s="284"/>
      <x:c r="N16" s="191"/>
      <x:c r="O16" s="188"/>
      <x:c r="P16" s="188"/>
      <x:c r="Q16" s="188"/>
      <x:c r="R16" s="184"/>
    </x:row>
    <x:row r="17" ht="17" customHeight="1">
      <x:c r="A17" s="176"/>
      <x:c r="B17" s="283"/>
      <x:c r="C17" s="283" t="str">
        <x:f>'2027 배당표'!C46</x:f>
        <x:v>융합</x:v>
      </x:c>
      <x:c r="D17" s="283" t="str">
        <x:f>'2027 배당표'!D46</x:f>
        <x:v>기후변화와 지속가능한 세계</x:v>
      </x:c>
      <x:c r="E17" s="190"/>
      <x:c r="F17" s="187"/>
      <x:c r="G17" s="284"/>
      <x:c r="H17" s="190"/>
      <x:c r="I17" s="187"/>
      <x:c r="J17" s="284"/>
      <x:c r="K17" s="190" t="n">
        <x:f>'2027 배당표'!Q46</x:f>
        <x:v>3</x:v>
      </x:c>
      <x:c r="L17" s="187" t="n">
        <x:f>'2027 배당표'!R46</x:f>
        <x:v>2</x:v>
      </x:c>
      <x:c r="M17" s="284" t="n">
        <x:f>'2027 배당표'!S46</x:f>
        <x:v>6</x:v>
      </x:c>
      <x:c r="N17" s="191"/>
      <x:c r="O17" s="188"/>
      <x:c r="P17" s="188"/>
      <x:c r="Q17" s="188"/>
      <x:c r="R17" s="184"/>
    </x:row>
    <x:row r="18" ht="17" customHeight="1">
      <x:c r="A18" s="176"/>
      <x:c r="B18" s="300" t="str">
        <x:v>윤리</x:v>
      </x:c>
      <x:c r="C18" s="295" t="str">
        <x:f>'2027 배당표'!C53</x:f>
        <x:v>자체</x:v>
      </x:c>
      <x:c r="D18" s="295" t="str">
        <x:f>'2027 배당표'!D53</x:f>
        <x:v>현대사회와 윤리</x:v>
      </x:c>
      <x:c r="E18" s="203"/>
      <x:c r="F18" s="204"/>
      <x:c r="G18" s="296"/>
      <x:c r="H18" s="203" t="n">
        <x:f>'2027 배당표'!K53</x:f>
        <x:v>3</x:v>
      </x:c>
      <x:c r="I18" s="204" t="n">
        <x:f>'2027 배당표'!L53</x:f>
        <x:v>8</x:v>
      </x:c>
      <x:c r="J18" s="296" t="n">
        <x:f>'2027 배당표'!M53</x:f>
        <x:v>24</x:v>
      </x:c>
      <x:c r="K18" s="203"/>
      <x:c r="L18" s="204"/>
      <x:c r="M18" s="296"/>
      <x:c r="N18" s="297" t="n">
        <x:f>'2027 배당표'!W52</x:f>
        <x:v>3</x:v>
      </x:c>
      <x:c r="O18" s="298" t="n">
        <x:f>'2027 배당표'!X52</x:f>
        <x:v>33</x:v>
      </x:c>
      <x:c r="P18" s="298" t="n">
        <x:f>'2027 배당표'!Y52</x:f>
        <x:v>21</x:v>
      </x:c>
      <x:c r="Q18" s="298" t="n">
        <x:f>'2027 배당표'!Z52</x:f>
        <x:v>54</x:v>
      </x:c>
      <x:c r="R18" s="299" t="n">
        <x:f>'2027 배당표'!AA52</x:f>
        <x:v>18</x:v>
      </x:c>
    </x:row>
    <x:row r="19" ht="17" customHeight="1">
      <x:c r="A19" s="176"/>
      <x:c r="B19" s="283"/>
      <x:c r="C19" s="283" t="str">
        <x:f>'2027 배당표'!C55</x:f>
        <x:v>자체</x:v>
      </x:c>
      <x:c r="D19" s="283" t="str">
        <x:f>'2027 배당표'!D55</x:f>
        <x:v>인문학과 윤리</x:v>
      </x:c>
      <x:c r="E19" s="190"/>
      <x:c r="F19" s="187"/>
      <x:c r="G19" s="284"/>
      <x:c r="H19" s="190"/>
      <x:c r="I19" s="187"/>
      <x:c r="J19" s="284"/>
      <x:c r="K19" s="190" t="n">
        <x:f>'2027 배당표'!Q55</x:f>
        <x:v>3</x:v>
      </x:c>
      <x:c r="L19" s="187" t="n">
        <x:f>'2027 배당표'!R55</x:f>
        <x:v>3</x:v>
      </x:c>
      <x:c r="M19" s="284" t="n">
        <x:f>'2027 배당표'!S55</x:f>
        <x:v>9</x:v>
      </x:c>
      <x:c r="N19" s="191"/>
      <x:c r="O19" s="188"/>
      <x:c r="P19" s="188"/>
      <x:c r="Q19" s="188"/>
      <x:c r="R19" s="184"/>
    </x:row>
    <x:row r="20" ht="17" customHeight="1">
      <x:c r="A20" s="176"/>
      <x:c r="B20" s="283"/>
      <x:c r="C20" s="283" t="str">
        <x:f>'2027 배당표'!C56</x:f>
        <x:v>통합</x:v>
      </x:c>
      <x:c r="D20" s="283" t="str">
        <x:f>'2027 배당표'!D56</x:f>
        <x:v>통합사회1</x:v>
      </x:c>
      <x:c r="E20" s="190" t="n">
        <x:f>'2027 배당표'!E56</x:f>
        <x:v>4</x:v>
      </x:c>
      <x:c r="F20" s="187" t="n">
        <x:f>'2027 배당표'!F56</x:f>
        <x:v>3</x:v>
      </x:c>
      <x:c r="G20" s="284" t="n">
        <x:f>'2027 배당표'!G56</x:f>
        <x:v>12</x:v>
      </x:c>
      <x:c r="H20" s="190"/>
      <x:c r="I20" s="187"/>
      <x:c r="J20" s="284"/>
      <x:c r="K20" s="190"/>
      <x:c r="L20" s="187"/>
      <x:c r="M20" s="284"/>
      <x:c r="N20" s="191"/>
      <x:c r="O20" s="188"/>
      <x:c r="P20" s="188"/>
      <x:c r="Q20" s="188"/>
      <x:c r="R20" s="184"/>
    </x:row>
    <x:row r="21" ht="17" customHeight="1">
      <x:c r="A21" s="176"/>
      <x:c r="B21" s="283"/>
      <x:c r="C21" s="283" t="str">
        <x:f>'2027 배당표'!C62</x:f>
        <x:v>융합</x:v>
      </x:c>
      <x:c r="D21" s="283" t="str">
        <x:f>'2027 배당표'!D62</x:f>
        <x:v>윤리문제 탐구</x:v>
      </x:c>
      <x:c r="E21" s="190"/>
      <x:c r="F21" s="187"/>
      <x:c r="G21" s="284"/>
      <x:c r="H21" s="190"/>
      <x:c r="I21" s="187"/>
      <x:c r="J21" s="284"/>
      <x:c r="K21" s="190" t="n">
        <x:f>'2027 배당표'!Q62</x:f>
        <x:v>3</x:v>
      </x:c>
      <x:c r="L21" s="187" t="n">
        <x:f>'2027 배당표'!R62</x:f>
        <x:v>3</x:v>
      </x:c>
      <x:c r="M21" s="284" t="n">
        <x:f>'2027 배당표'!S62</x:f>
        <x:v>9</x:v>
      </x:c>
      <x:c r="N21" s="191"/>
      <x:c r="O21" s="188"/>
      <x:c r="P21" s="188"/>
      <x:c r="Q21" s="188"/>
      <x:c r="R21" s="184"/>
    </x:row>
    <x:row r="22" ht="18" customHeight="1">
      <x:c r="A22" s="176"/>
      <x:c r="B22" s="305" t="str">
        <x:v>사회 전체</x:v>
      </x:c>
      <x:c r="C22" s="304"/>
      <x:c r="D22" s="304"/>
      <x:c r="E22" s="304"/>
      <x:c r="F22" s="304"/>
      <x:c r="G22" s="304" t="n">
        <x:f>SUM(G6:G21)</x:f>
        <x:v>84</x:v>
      </x:c>
      <x:c r="H22" s="304"/>
      <x:c r="I22" s="304"/>
      <x:c r="J22" s="304" t="n">
        <x:f>SUM(J6:J21)</x:f>
        <x:v>69</x:v>
      </x:c>
      <x:c r="K22" s="304"/>
      <x:c r="L22" s="304"/>
      <x:c r="M22" s="304" t="n">
        <x:f>SUM(M6:M21)</x:f>
        <x:v>75</x:v>
      </x:c>
      <x:c r="N22" s="304" t="n">
        <x:f>'2027 배당표'!W108</x:f>
        <x:v>12</x:v>
      </x:c>
      <x:c r="O22" s="304" t="n">
        <x:f>'2027 배당표'!X108</x:f>
        <x:v>144</x:v>
      </x:c>
      <x:c r="P22" s="304" t="n">
        <x:f>'2027 배당표'!Y108</x:f>
        <x:v>84</x:v>
      </x:c>
      <x:c r="Q22" s="304" t="n">
        <x:f>'2027 배당표'!Z108</x:f>
        <x:v>228</x:v>
      </x:c>
      <x:c r="R22" s="306" t="n">
        <x:f>'2027 배당표'!AA108</x:f>
        <x:v>19</x:v>
      </x:c>
    </x:row>
    <x:row r="23" ht="12" customHeight="1">
      <x:c r="A23" s="176"/>
      <x:c r="B23" s="216" t="str">
        <x:v>2026.9.28. 최종 선택자료 반영. 교사 수는 2026학년도 정원 참고값입니다.</x:v>
      </x:c>
      <x:c r="C23" s="216"/>
      <x:c r="D23" s="216"/>
      <x:c r="E23" s="216"/>
      <x:c r="F23" s="216"/>
      <x:c r="G23" s="216"/>
      <x:c r="H23" s="216"/>
      <x:c r="I23" s="216"/>
      <x:c r="J23" s="216"/>
      <x:c r="K23" s="216"/>
      <x:c r="L23" s="216"/>
      <x:c r="M23" s="216"/>
      <x:c r="N23" s="216"/>
      <x:c r="O23" s="216"/>
      <x:c r="P23" s="216"/>
      <x:c r="Q23" s="216"/>
      <x:c r="R23" s="216"/>
    </x:row>
    <x:row r="24" ht="12" customHeight="1">
      <x:c r="A24" s="176"/>
      <x:c r="B24" s="216" t="str">
        <x:f>IF(SUM(G22,J22,M22)=Q22,"교육과정상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4" s="216"/>
      <x:c r="D24" s="216"/>
      <x:c r="E24" s="216"/>
      <x:c r="F24" s="216"/>
      <x:c r="G24" s="216"/>
      <x:c r="H24" s="216"/>
      <x:c r="I24" s="216"/>
      <x:c r="J24" s="216"/>
      <x:c r="K24" s="216"/>
      <x:c r="L24" s="216"/>
      <x:c r="M24" s="216"/>
      <x:c r="N24" s="216"/>
      <x:c r="O24" s="216"/>
      <x:c r="P24" s="216"/>
      <x:c r="Q24" s="216"/>
      <x:c r="R24" s="216"/>
    </x:row>
    <x:row r="25" ht="17" customHeight="1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</x:row>
    <x:row r="26" ht="17" customHeight="1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  <x:c r="R26" s="176"/>
    </x:row>
    <x:row r="27" ht="24" customHeight="1">
      <x:c r="A27" s="176"/>
      <x:c r="B27" s="177" t="str">
        <x:v>2027학년도 사회 주간수업 배당표</x:v>
      </x:c>
      <x:c r="C27" s="177"/>
      <x:c r="D27" s="177"/>
      <x:c r="E27" s="177"/>
      <x:c r="F27" s="177"/>
      <x:c r="G27" s="177"/>
      <x:c r="H27" s="177"/>
      <x:c r="I27" s="177"/>
      <x:c r="J27" s="177"/>
      <x:c r="K27" s="177"/>
      <x:c r="L27" s="177"/>
      <x:c r="M27" s="177"/>
      <x:c r="N27" s="177"/>
      <x:c r="O27" s="177"/>
      <x:c r="P27" s="177"/>
      <x:c r="Q27" s="177"/>
      <x:c r="R27" s="177"/>
    </x:row>
    <x:row r="28" ht="16" customHeight="1">
      <x:c r="A28" s="176"/>
      <x:c r="B28" s="178" t="str">
        <x:v>2학기  /  기존안·변경안 공통  /  단위: 시간·주, 반, 명</x:v>
      </x:c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</x:row>
    <x:row r="29" ht="22" customHeight="1">
      <x:c r="A29" s="176"/>
      <x:c r="B29" s="282" t="str">
        <x:v>담당
교과</x:v>
      </x:c>
      <x:c r="C29" s="282" t="str">
        <x:v>구분</x:v>
      </x:c>
      <x:c r="D29" s="282" t="str">
        <x:v>과목명</x:v>
      </x:c>
      <x:c r="E29" s="282" t="str">
        <x:v>1학년 (12학급)</x:v>
      </x:c>
      <x:c r="F29" s="282"/>
      <x:c r="G29" s="282"/>
      <x:c r="H29" s="282" t="str">
        <x:v>2학년 (13학급)</x:v>
      </x:c>
      <x:c r="I29" s="282"/>
      <x:c r="J29" s="282"/>
      <x:c r="K29" s="282" t="str">
        <x:v>3학년 (13학급)</x:v>
      </x:c>
      <x:c r="L29" s="282"/>
      <x:c r="M29" s="282"/>
      <x:c r="N29" s="282" t="str">
        <x:v>교사
수</x:v>
      </x:c>
      <x:c r="O29" s="282" t="str">
        <x:v>자체
시수</x:v>
      </x:c>
      <x:c r="P29" s="282" t="str">
        <x:v>배정
시수</x:v>
      </x:c>
      <x:c r="Q29" s="282" t="str">
        <x:v>교과
총시수</x:v>
      </x:c>
      <x:c r="R29" s="282" t="str">
        <x:v>교사 1인
평균</x:v>
      </x:c>
    </x:row>
    <x:row r="30" ht="22" customHeight="1">
      <x:c r="A30" s="176"/>
      <x:c r="B30" s="282"/>
      <x:c r="C30" s="282"/>
      <x:c r="D30" s="282"/>
      <x:c r="E30" s="282" t="str">
        <x:v>반당
시수</x:v>
      </x:c>
      <x:c r="F30" s="282" t="str">
        <x:v>개설
반 수</x:v>
      </x:c>
      <x:c r="G30" s="282" t="str">
        <x:v>교과
시수</x:v>
      </x:c>
      <x:c r="H30" s="282" t="str">
        <x:v>반당
시수</x:v>
      </x:c>
      <x:c r="I30" s="282" t="str">
        <x:v>개설
반 수</x:v>
      </x:c>
      <x:c r="J30" s="282" t="str">
        <x:v>교과
시수</x:v>
      </x:c>
      <x:c r="K30" s="282" t="str">
        <x:v>반당
시수</x:v>
      </x:c>
      <x:c r="L30" s="282" t="str">
        <x:v>개설
반 수</x:v>
      </x:c>
      <x:c r="M30" s="282" t="str">
        <x:v>교과
시수</x:v>
      </x:c>
      <x:c r="N30" s="282"/>
      <x:c r="O30" s="282"/>
      <x:c r="P30" s="282"/>
      <x:c r="Q30" s="282"/>
      <x:c r="R30" s="282"/>
    </x:row>
    <x:row r="31" ht="17" customHeight="1">
      <x:c r="A31" s="176"/>
      <x:c r="B31" s="300" t="str">
        <x:v>역사</x:v>
      </x:c>
      <x:c r="C31" s="295" t="str">
        <x:f>'2027 배당표'!C16</x:f>
        <x:v>자체</x:v>
      </x:c>
      <x:c r="D31" s="295" t="str">
        <x:f>'2027 배당표'!D16</x:f>
        <x:v>한국사2</x:v>
      </x:c>
      <x:c r="E31" s="203" t="n">
        <x:f>'2027 배당표'!H16</x:f>
        <x:v>3</x:v>
      </x:c>
      <x:c r="F31" s="204" t="n">
        <x:f>'2027 배당표'!I16</x:f>
        <x:v>12</x:v>
      </x:c>
      <x:c r="G31" s="296" t="n">
        <x:f>'2027 배당표'!J16</x:f>
        <x:v>36</x:v>
      </x:c>
      <x:c r="H31" s="203"/>
      <x:c r="I31" s="204"/>
      <x:c r="J31" s="296"/>
      <x:c r="K31" s="203"/>
      <x:c r="L31" s="204"/>
      <x:c r="M31" s="296"/>
      <x:c r="N31" s="297" t="n">
        <x:f>'2027 배당표'!W13</x:f>
        <x:v>3</x:v>
      </x:c>
      <x:c r="O31" s="298" t="n">
        <x:f>'2027 배당표'!AB13</x:f>
        <x:v>42</x:v>
      </x:c>
      <x:c r="P31" s="298" t="n">
        <x:f>'2027 배당표'!AC13</x:f>
        <x:v>12</x:v>
      </x:c>
      <x:c r="Q31" s="298" t="n">
        <x:f>'2027 배당표'!AD13</x:f>
        <x:v>54</x:v>
      </x:c>
      <x:c r="R31" s="299" t="n">
        <x:f>'2027 배당표'!AE13</x:f>
        <x:v>18</x:v>
      </x:c>
    </x:row>
    <x:row r="32" ht="17" customHeight="1">
      <x:c r="A32" s="176"/>
      <x:c r="B32" s="283"/>
      <x:c r="C32" s="283" t="str">
        <x:f>'2027 배당표'!C17</x:f>
        <x:v>자체</x:v>
      </x:c>
      <x:c r="D32" s="283" t="str">
        <x:f>'2027 배당표'!D17</x:f>
        <x:v>동아시아 역사 기행</x:v>
      </x:c>
      <x:c r="E32" s="190"/>
      <x:c r="F32" s="187"/>
      <x:c r="G32" s="284"/>
      <x:c r="H32" s="190" t="n">
        <x:f>'2027 배당표'!N17</x:f>
        <x:v>3</x:v>
      </x:c>
      <x:c r="I32" s="187" t="n">
        <x:f>'2027 배당표'!O17</x:f>
        <x:v>2</x:v>
      </x:c>
      <x:c r="J32" s="284" t="n">
        <x:f>'2027 배당표'!P17</x:f>
        <x:v>6</x:v>
      </x:c>
      <x:c r="K32" s="190"/>
      <x:c r="L32" s="187"/>
      <x:c r="M32" s="284"/>
      <x:c r="N32" s="191"/>
      <x:c r="O32" s="188"/>
      <x:c r="P32" s="188"/>
      <x:c r="Q32" s="188"/>
      <x:c r="R32" s="184"/>
    </x:row>
    <x:row r="33" ht="17" customHeight="1">
      <x:c r="A33" s="176"/>
      <x:c r="B33" s="283"/>
      <x:c r="C33" s="283" t="str">
        <x:f>'2027 배당표'!C25</x:f>
        <x:v>통합</x:v>
      </x:c>
      <x:c r="D33" s="283" t="str">
        <x:f>'2027 배당표'!D25</x:f>
        <x:v>통합사회2</x:v>
      </x:c>
      <x:c r="E33" s="190" t="n">
        <x:f>'2027 배당표'!H25</x:f>
        <x:v>4</x:v>
      </x:c>
      <x:c r="F33" s="187" t="n">
        <x:f>'2027 배당표'!I25</x:f>
        <x:v>3</x:v>
      </x:c>
      <x:c r="G33" s="284" t="n">
        <x:f>'2027 배당표'!J25</x:f>
        <x:v>12</x:v>
      </x:c>
      <x:c r="H33" s="190"/>
      <x:c r="I33" s="187"/>
      <x:c r="J33" s="284"/>
      <x:c r="K33" s="190"/>
      <x:c r="L33" s="187"/>
      <x:c r="M33" s="284"/>
      <x:c r="N33" s="191"/>
      <x:c r="O33" s="188"/>
      <x:c r="P33" s="188"/>
      <x:c r="Q33" s="188"/>
      <x:c r="R33" s="184"/>
    </x:row>
    <x:row r="34" ht="17" customHeight="1">
      <x:c r="A34" s="176"/>
      <x:c r="B34" s="300" t="str">
        <x:v>일반사회</x:v>
      </x:c>
      <x:c r="C34" s="295" t="str">
        <x:f>'2027 배당표'!C30</x:f>
        <x:v>자체</x:v>
      </x:c>
      <x:c r="D34" s="295" t="str">
        <x:f>'2027 배당표'!D30</x:f>
        <x:v>법과 사회</x:v>
      </x:c>
      <x:c r="E34" s="203"/>
      <x:c r="F34" s="204"/>
      <x:c r="G34" s="296"/>
      <x:c r="H34" s="203" t="n">
        <x:f>'2027 배당표'!N30</x:f>
        <x:v>3</x:v>
      </x:c>
      <x:c r="I34" s="204" t="n">
        <x:f>'2027 배당표'!O30</x:f>
        <x:v>5</x:v>
      </x:c>
      <x:c r="J34" s="296" t="n">
        <x:f>'2027 배당표'!P30</x:f>
        <x:v>15</x:v>
      </x:c>
      <x:c r="K34" s="203"/>
      <x:c r="L34" s="204"/>
      <x:c r="M34" s="296"/>
      <x:c r="N34" s="297" t="n">
        <x:f>'2027 배당표'!W26</x:f>
        <x:v>4</x:v>
      </x:c>
      <x:c r="O34" s="298" t="n">
        <x:f>'2027 배당표'!AB26</x:f>
        <x:v>27</x:v>
      </x:c>
      <x:c r="P34" s="298" t="n">
        <x:f>'2027 배당표'!AC26</x:f>
        <x:v>47</x:v>
      </x:c>
      <x:c r="Q34" s="298" t="n">
        <x:f>'2027 배당표'!AD26</x:f>
        <x:v>74</x:v>
      </x:c>
      <x:c r="R34" s="299" t="n">
        <x:f>'2027 배당표'!AE26</x:f>
        <x:v>18.5</x:v>
      </x:c>
    </x:row>
    <x:row r="35" ht="17" customHeight="1">
      <x:c r="A35" s="176"/>
      <x:c r="B35" s="283"/>
      <x:c r="C35" s="283" t="str">
        <x:f>'2027 배당표'!C31</x:f>
        <x:v>자체</x:v>
      </x:c>
      <x:c r="D35" s="283" t="str">
        <x:f>'2027 배당표'!D31</x:f>
        <x:v>정치</x:v>
      </x:c>
      <x:c r="E35" s="190"/>
      <x:c r="F35" s="187"/>
      <x:c r="G35" s="284"/>
      <x:c r="H35" s="190" t="n">
        <x:f>'2027 배당표'!N31</x:f>
        <x:v>3</x:v>
      </x:c>
      <x:c r="I35" s="187" t="n">
        <x:f>'2027 배당표'!O31</x:f>
        <x:v>4</x:v>
      </x:c>
      <x:c r="J35" s="284" t="n">
        <x:f>'2027 배당표'!P31</x:f>
        <x:v>12</x:v>
      </x:c>
      <x:c r="K35" s="190"/>
      <x:c r="L35" s="187"/>
      <x:c r="M35" s="284"/>
      <x:c r="N35" s="191"/>
      <x:c r="O35" s="188"/>
      <x:c r="P35" s="188"/>
      <x:c r="Q35" s="188"/>
      <x:c r="R35" s="184"/>
    </x:row>
    <x:row r="36" ht="17" customHeight="1">
      <x:c r="A36" s="176"/>
      <x:c r="B36" s="283"/>
      <x:c r="C36" s="283" t="str">
        <x:f>'2027 배당표'!C33</x:f>
        <x:v>융합</x:v>
      </x:c>
      <x:c r="D36" s="283" t="str">
        <x:f>'2027 배당표'!D33</x:f>
        <x:v>금융과 경제생활</x:v>
      </x:c>
      <x:c r="E36" s="190"/>
      <x:c r="F36" s="187"/>
      <x:c r="G36" s="284"/>
      <x:c r="H36" s="190"/>
      <x:c r="I36" s="187"/>
      <x:c r="J36" s="284"/>
      <x:c r="K36" s="190" t="n">
        <x:f>'2027 배당표'!T33</x:f>
        <x:v>3</x:v>
      </x:c>
      <x:c r="L36" s="187" t="n">
        <x:f>'2027 배당표'!U33</x:f>
        <x:v>5</x:v>
      </x:c>
      <x:c r="M36" s="284" t="n">
        <x:f>'2027 배당표'!V33</x:f>
        <x:v>15</x:v>
      </x:c>
      <x:c r="N36" s="191"/>
      <x:c r="O36" s="188"/>
      <x:c r="P36" s="188"/>
      <x:c r="Q36" s="188"/>
      <x:c r="R36" s="184"/>
    </x:row>
    <x:row r="37" ht="17" customHeight="1">
      <x:c r="A37" s="176"/>
      <x:c r="B37" s="283"/>
      <x:c r="C37" s="283" t="str">
        <x:f>'2027 배당표'!C35</x:f>
        <x:v>융합</x:v>
      </x:c>
      <x:c r="D37" s="283" t="str">
        <x:f>'2027 배당표'!D35</x:f>
        <x:v>사회문제 탐구</x:v>
      </x:c>
      <x:c r="E37" s="190"/>
      <x:c r="F37" s="187"/>
      <x:c r="G37" s="284"/>
      <x:c r="H37" s="190"/>
      <x:c r="I37" s="187"/>
      <x:c r="J37" s="284"/>
      <x:c r="K37" s="190" t="n">
        <x:f>'2027 배당표'!T35</x:f>
        <x:v>3</x:v>
      </x:c>
      <x:c r="L37" s="187" t="n">
        <x:f>'2027 배당표'!U35</x:f>
        <x:v>8</x:v>
      </x:c>
      <x:c r="M37" s="284" t="n">
        <x:f>'2027 배당표'!V35</x:f>
        <x:v>24</x:v>
      </x:c>
      <x:c r="N37" s="191"/>
      <x:c r="O37" s="188"/>
      <x:c r="P37" s="188"/>
      <x:c r="Q37" s="188"/>
      <x:c r="R37" s="184"/>
    </x:row>
    <x:row r="38" ht="17" customHeight="1">
      <x:c r="A38" s="176"/>
      <x:c r="B38" s="283"/>
      <x:c r="C38" s="283" t="str">
        <x:f>'2027 배당표'!C39</x:f>
        <x:v>통합</x:v>
      </x:c>
      <x:c r="D38" s="283" t="str">
        <x:f>'2027 배당표'!D39</x:f>
        <x:v>통합사회2</x:v>
      </x:c>
      <x:c r="E38" s="190" t="n">
        <x:f>'2027 배당표'!H39</x:f>
        <x:v>4</x:v>
      </x:c>
      <x:c r="F38" s="187" t="n">
        <x:f>'2027 배당표'!I39</x:f>
        <x:v>2</x:v>
      </x:c>
      <x:c r="G38" s="284" t="n">
        <x:f>'2027 배당표'!J39</x:f>
        <x:v>8</x:v>
      </x:c>
      <x:c r="H38" s="190"/>
      <x:c r="I38" s="187"/>
      <x:c r="J38" s="284"/>
      <x:c r="K38" s="190"/>
      <x:c r="L38" s="187"/>
      <x:c r="M38" s="284"/>
      <x:c r="N38" s="191"/>
      <x:c r="O38" s="188"/>
      <x:c r="P38" s="188"/>
      <x:c r="Q38" s="188"/>
      <x:c r="R38" s="184"/>
    </x:row>
    <x:row r="39" ht="17" customHeight="1">
      <x:c r="A39" s="176"/>
      <x:c r="B39" s="300" t="str">
        <x:v>지리</x:v>
      </x:c>
      <x:c r="C39" s="295" t="str">
        <x:f>'2027 배당표'!C43</x:f>
        <x:v>자체</x:v>
      </x:c>
      <x:c r="D39" s="295" t="str">
        <x:f>'2027 배당표'!D43</x:f>
        <x:v>한국지리 탐구</x:v>
      </x:c>
      <x:c r="E39" s="203"/>
      <x:c r="F39" s="204"/>
      <x:c r="G39" s="296"/>
      <x:c r="H39" s="203" t="n">
        <x:f>'2027 배당표'!N43</x:f>
        <x:v>3</x:v>
      </x:c>
      <x:c r="I39" s="204" t="n">
        <x:f>'2027 배당표'!O43</x:f>
        <x:v>2</x:v>
      </x:c>
      <x:c r="J39" s="296" t="n">
        <x:f>'2027 배당표'!P43</x:f>
        <x:v>6</x:v>
      </x:c>
      <x:c r="K39" s="203"/>
      <x:c r="L39" s="204"/>
      <x:c r="M39" s="296"/>
      <x:c r="N39" s="297" t="n">
        <x:f>'2027 배당표'!W40</x:f>
        <x:v>2</x:v>
      </x:c>
      <x:c r="O39" s="298" t="n">
        <x:f>'2027 배당표'!AB40</x:f>
        <x:v>6</x:v>
      </x:c>
      <x:c r="P39" s="298" t="n">
        <x:f>'2027 배당표'!AC40</x:f>
        <x:v>33</x:v>
      </x:c>
      <x:c r="Q39" s="298" t="n">
        <x:f>'2027 배당표'!AD40</x:f>
        <x:v>39</x:v>
      </x:c>
      <x:c r="R39" s="299" t="n">
        <x:f>'2027 배당표'!AE40</x:f>
        <x:v>19.5</x:v>
      </x:c>
    </x:row>
    <x:row r="40" ht="17" customHeight="1">
      <x:c r="A40" s="176"/>
      <x:c r="B40" s="283"/>
      <x:c r="C40" s="283" t="str">
        <x:f>'2027 배당표'!C48</x:f>
        <x:v>융합</x:v>
      </x:c>
      <x:c r="D40" s="283" t="str">
        <x:f>'2027 배당표'!D48</x:f>
        <x:v>여행지리</x:v>
      </x:c>
      <x:c r="E40" s="190"/>
      <x:c r="F40" s="187"/>
      <x:c r="G40" s="284"/>
      <x:c r="H40" s="190"/>
      <x:c r="I40" s="187"/>
      <x:c r="J40" s="284"/>
      <x:c r="K40" s="190" t="n">
        <x:f>'2027 배당표'!T48</x:f>
        <x:v>3</x:v>
      </x:c>
      <x:c r="L40" s="187" t="n">
        <x:f>'2027 배당표'!U48</x:f>
        <x:v>7</x:v>
      </x:c>
      <x:c r="M40" s="284" t="n">
        <x:f>'2027 배당표'!V48</x:f>
        <x:v>21</x:v>
      </x:c>
      <x:c r="N40" s="191"/>
      <x:c r="O40" s="188"/>
      <x:c r="P40" s="188"/>
      <x:c r="Q40" s="188"/>
      <x:c r="R40" s="184"/>
    </x:row>
    <x:row r="41" ht="17" customHeight="1">
      <x:c r="A41" s="176"/>
      <x:c r="B41" s="283"/>
      <x:c r="C41" s="283" t="str">
        <x:f>'2027 배당표'!C51</x:f>
        <x:v>통합</x:v>
      </x:c>
      <x:c r="D41" s="283" t="str">
        <x:f>'2027 배당표'!D51</x:f>
        <x:v>통합사회2</x:v>
      </x:c>
      <x:c r="E41" s="190" t="n">
        <x:f>'2027 배당표'!H51</x:f>
        <x:v>4</x:v>
      </x:c>
      <x:c r="F41" s="187" t="n">
        <x:f>'2027 배당표'!I51</x:f>
        <x:v>3</x:v>
      </x:c>
      <x:c r="G41" s="284" t="n">
        <x:f>'2027 배당표'!J51</x:f>
        <x:v>12</x:v>
      </x:c>
      <x:c r="H41" s="190"/>
      <x:c r="I41" s="187"/>
      <x:c r="J41" s="284"/>
      <x:c r="K41" s="190"/>
      <x:c r="L41" s="187"/>
      <x:c r="M41" s="284"/>
      <x:c r="N41" s="191"/>
      <x:c r="O41" s="188"/>
      <x:c r="P41" s="188"/>
      <x:c r="Q41" s="188"/>
      <x:c r="R41" s="184"/>
    </x:row>
    <x:row r="42" ht="17" customHeight="1">
      <x:c r="A42" s="176"/>
      <x:c r="B42" s="300" t="str">
        <x:v>윤리</x:v>
      </x:c>
      <x:c r="C42" s="295" t="str">
        <x:f>'2027 배당표'!C54</x:f>
        <x:v>자체</x:v>
      </x:c>
      <x:c r="D42" s="295" t="str">
        <x:f>'2027 배당표'!D54</x:f>
        <x:v>윤리와 사상</x:v>
      </x:c>
      <x:c r="E42" s="203"/>
      <x:c r="F42" s="204"/>
      <x:c r="G42" s="296"/>
      <x:c r="H42" s="203" t="n">
        <x:f>'2027 배당표'!N54</x:f>
        <x:v>3</x:v>
      </x:c>
      <x:c r="I42" s="204" t="n">
        <x:f>'2027 배당표'!O54</x:f>
        <x:v>9</x:v>
      </x:c>
      <x:c r="J42" s="296" t="n">
        <x:f>'2027 배당표'!P54</x:f>
        <x:v>27</x:v>
      </x:c>
      <x:c r="K42" s="203"/>
      <x:c r="L42" s="204"/>
      <x:c r="M42" s="296"/>
      <x:c r="N42" s="297" t="n">
        <x:f>'2027 배당표'!W52</x:f>
        <x:v>3</x:v>
      </x:c>
      <x:c r="O42" s="298" t="n">
        <x:f>'2027 배당표'!AB52</x:f>
        <x:v>39</x:v>
      </x:c>
      <x:c r="P42" s="298" t="n">
        <x:f>'2027 배당표'!AC52</x:f>
        <x:v>16</x:v>
      </x:c>
      <x:c r="Q42" s="298" t="n">
        <x:f>'2027 배당표'!AD52</x:f>
        <x:v>55</x:v>
      </x:c>
      <x:c r="R42" s="299" t="n">
        <x:f>'2027 배당표'!AE52</x:f>
        <x:v>18.333333333333332</x:v>
      </x:c>
    </x:row>
    <x:row r="43" ht="17" customHeight="1">
      <x:c r="A43" s="176"/>
      <x:c r="B43" s="283"/>
      <x:c r="C43" s="283" t="str">
        <x:f>'2027 배당표'!C55</x:f>
        <x:v>자체</x:v>
      </x:c>
      <x:c r="D43" s="283" t="str">
        <x:f>'2027 배당표'!D55</x:f>
        <x:v>인문학과 윤리</x:v>
      </x:c>
      <x:c r="E43" s="190"/>
      <x:c r="F43" s="187"/>
      <x:c r="G43" s="284"/>
      <x:c r="H43" s="190"/>
      <x:c r="I43" s="187"/>
      <x:c r="J43" s="284"/>
      <x:c r="K43" s="190" t="n">
        <x:f>'2027 배당표'!T55</x:f>
        <x:v>3</x:v>
      </x:c>
      <x:c r="L43" s="187" t="n">
        <x:f>'2027 배당표'!U55</x:f>
        <x:v>4</x:v>
      </x:c>
      <x:c r="M43" s="284" t="n">
        <x:f>'2027 배당표'!V55</x:f>
        <x:v>12</x:v>
      </x:c>
      <x:c r="N43" s="191"/>
      <x:c r="O43" s="188"/>
      <x:c r="P43" s="188"/>
      <x:c r="Q43" s="188"/>
      <x:c r="R43" s="184"/>
    </x:row>
    <x:row r="44" ht="17" customHeight="1">
      <x:c r="A44" s="176"/>
      <x:c r="B44" s="283"/>
      <x:c r="C44" s="283" t="str">
        <x:f>'2027 배당표'!C63</x:f>
        <x:v>통합</x:v>
      </x:c>
      <x:c r="D44" s="283" t="str">
        <x:f>'2027 배당표'!D63</x:f>
        <x:v>통합사회2</x:v>
      </x:c>
      <x:c r="E44" s="190" t="n">
        <x:f>'2027 배당표'!H63</x:f>
        <x:v>4</x:v>
      </x:c>
      <x:c r="F44" s="187" t="n">
        <x:f>'2027 배당표'!I63</x:f>
        <x:v>4</x:v>
      </x:c>
      <x:c r="G44" s="284" t="n">
        <x:f>'2027 배당표'!J63</x:f>
        <x:v>16</x:v>
      </x:c>
      <x:c r="H44" s="190"/>
      <x:c r="I44" s="187"/>
      <x:c r="J44" s="284"/>
      <x:c r="K44" s="190"/>
      <x:c r="L44" s="187"/>
      <x:c r="M44" s="284"/>
      <x:c r="N44" s="191"/>
      <x:c r="O44" s="188"/>
      <x:c r="P44" s="188"/>
      <x:c r="Q44" s="188"/>
      <x:c r="R44" s="184"/>
    </x:row>
    <x:row r="45" ht="18" customHeight="1">
      <x:c r="A45" s="176"/>
      <x:c r="B45" s="305" t="str">
        <x:v>사회 전체</x:v>
      </x:c>
      <x:c r="C45" s="304"/>
      <x:c r="D45" s="304"/>
      <x:c r="E45" s="304"/>
      <x:c r="F45" s="304"/>
      <x:c r="G45" s="304" t="n">
        <x:f>SUM(G31:G44)</x:f>
        <x:v>84</x:v>
      </x:c>
      <x:c r="H45" s="304"/>
      <x:c r="I45" s="304"/>
      <x:c r="J45" s="304" t="n">
        <x:f>SUM(J31:J44)</x:f>
        <x:v>66</x:v>
      </x:c>
      <x:c r="K45" s="304"/>
      <x:c r="L45" s="304"/>
      <x:c r="M45" s="304" t="n">
        <x:f>SUM(M31:M44)</x:f>
        <x:v>72</x:v>
      </x:c>
      <x:c r="N45" s="304" t="n">
        <x:f>'2027 배당표'!W108</x:f>
        <x:v>12</x:v>
      </x:c>
      <x:c r="O45" s="304" t="n">
        <x:f>'2027 배당표'!AB108</x:f>
        <x:v>114</x:v>
      </x:c>
      <x:c r="P45" s="304" t="n">
        <x:f>'2027 배당표'!AC108</x:f>
        <x:v>108</x:v>
      </x:c>
      <x:c r="Q45" s="304" t="n">
        <x:f>'2027 배당표'!AD108</x:f>
        <x:v>222</x:v>
      </x:c>
      <x:c r="R45" s="306" t="n">
        <x:f>'2027 배당표'!AE108</x:f>
        <x:v>18.5</x:v>
      </x:c>
    </x:row>
    <x:row r="46" ht="12" customHeight="1">
      <x:c r="A46" s="176"/>
      <x:c r="B46" s="216" t="str">
        <x:v>2026.9.28. 최종 선택자료 반영. 교사 수는 2026학년도 정원 참고값입니다.</x:v>
      </x:c>
      <x:c r="C46" s="216"/>
      <x:c r="D46" s="216"/>
      <x:c r="E46" s="216"/>
      <x:c r="F46" s="216"/>
      <x:c r="G46" s="216"/>
      <x:c r="H46" s="216"/>
      <x:c r="I46" s="216"/>
      <x:c r="J46" s="216"/>
      <x:c r="K46" s="216"/>
      <x:c r="L46" s="216"/>
      <x:c r="M46" s="216"/>
      <x:c r="N46" s="216"/>
      <x:c r="O46" s="216"/>
      <x:c r="P46" s="216"/>
      <x:c r="Q46" s="216"/>
      <x:c r="R46" s="216"/>
    </x:row>
    <x:row r="47" ht="12" customHeight="1">
      <x:c r="A47" s="176"/>
      <x:c r="B47" s="216" t="str">
        <x:f>IF(SUM(G45,J45,M45)=Q45,"교육과정상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47" s="216"/>
      <x:c r="D47" s="216"/>
      <x:c r="E47" s="216"/>
      <x:c r="F47" s="216"/>
      <x:c r="G47" s="216"/>
      <x:c r="H47" s="216"/>
      <x:c r="I47" s="216"/>
      <x:c r="J47" s="216"/>
      <x:c r="K47" s="216"/>
      <x:c r="L47" s="216"/>
      <x:c r="M47" s="216"/>
      <x:c r="N47" s="216"/>
      <x:c r="O47" s="216"/>
      <x:c r="P47" s="216"/>
      <x:c r="Q47" s="216"/>
      <x:c r="R47" s="216"/>
    </x:row>
    <x:row r="48" ht="17" customHeight="1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</x:row>
    <x:row r="49" ht="17" customHeight="1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</x:row>
    <x:row r="50" ht="17" customHeight="1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</x:row>
    <x:row r="51" ht="17" customHeight="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</x:row>
    <x:row r="52" ht="17" customHeight="1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</x:row>
    <x:row r="53" ht="17" customHeight="1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</x:row>
    <x:row r="54" ht="17" customHeight="1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</x:row>
    <x:row r="55" ht="17" customHeight="1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</x:row>
    <x:row r="56" ht="17" customHeight="1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</x:row>
    <x:row r="57" ht="17" customHeight="1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</x:row>
    <x:row r="58" ht="17" customHeight="1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</x:row>
    <x:row r="59" ht="17" customHeight="1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</x:row>
    <x:row r="60" ht="17" customHeight="1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</x:row>
    <x:row r="61" ht="17" customHeight="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</x:row>
    <x:row r="62" ht="17" customHeight="1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</x:row>
    <x:row r="63" ht="17" customHeight="1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</x:row>
    <x:row r="64" ht="17" customHeight="1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</x:row>
    <x:row r="65" ht="17" customHeight="1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</x:row>
    <x:row r="66" ht="17" customHeight="1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</x:row>
    <x:row r="67" ht="17" customHeight="1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</x:row>
    <x:row r="68" ht="17" customHeight="1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</x:row>
    <x:row r="69" ht="17" customHeight="1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</x:row>
    <x:row r="70" ht="17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</x:row>
    <x:row r="71" ht="17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</x:row>
    <x:row r="72" ht="17" customHeight="1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</x:row>
    <x:row r="73" ht="17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</x:row>
    <x:row r="74" ht="17" customHeight="1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</x:row>
    <x:row r="75" ht="17" customHeight="1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</x:row>
    <x:row r="76" ht="17" customHeight="1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</x:row>
    <x:row r="77" ht="17" customHeight="1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</x:row>
    <x:row r="78" ht="17" customHeight="1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</x:row>
    <x:row r="79" ht="17" customHeight="1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22:D22"/>
    <x:mergeCell ref="B23:R23"/>
    <x:mergeCell ref="B24:R24"/>
    <x:mergeCell ref="B27:R27"/>
    <x:mergeCell ref="B28:R28"/>
    <x:mergeCell ref="B29:B30"/>
    <x:mergeCell ref="C29:C30"/>
    <x:mergeCell ref="D29:D30"/>
    <x:mergeCell ref="N29:N30"/>
    <x:mergeCell ref="O29:O30"/>
    <x:mergeCell ref="P29:P30"/>
    <x:mergeCell ref="Q29:Q30"/>
    <x:mergeCell ref="R29:R30"/>
    <x:mergeCell ref="E29:G29"/>
    <x:mergeCell ref="H29:J29"/>
    <x:mergeCell ref="K29:M29"/>
    <x:mergeCell ref="B45:D45"/>
    <x:mergeCell ref="B46:R46"/>
    <x:mergeCell ref="B47:R47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2.xml><?xml version="1.0" encoding="utf-8"?>
<x:worksheet xmlns:x="http://schemas.openxmlformats.org/spreadsheetml/2006/main">
  <x:sheetPr>
    <x:tabColor rgb="FF425A39"/>
    <x:pageSetUpPr fitToPage="0" autoPageBreaks="0"/>
  </x:sheetPr>
  <x:sheetViews>
    <x:sheetView showGridLines="0" workbookViewId="0" tabSelected="0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2027학년도 과학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기존안·변경안 공통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(13학급)</x:v>
      </x:c>
      <x:c r="I4" s="282"/>
      <x:c r="J4" s="282"/>
      <x:c r="K4" s="282" t="str">
        <x:v>3학년 (13학급)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물리</x:v>
      </x:c>
      <x:c r="C6" s="295" t="str">
        <x:f>'2027 배당표'!C65</x:f>
        <x:v>자체</x:v>
      </x:c>
      <x:c r="D6" s="295" t="str">
        <x:f>'2027 배당표'!D65</x:f>
        <x:v>물리학</x:v>
      </x:c>
      <x:c r="E6" s="203"/>
      <x:c r="F6" s="204"/>
      <x:c r="G6" s="296"/>
      <x:c r="H6" s="203" t="n">
        <x:f>'2027 배당표'!K65</x:f>
        <x:v>3</x:v>
      </x:c>
      <x:c r="I6" s="204" t="n">
        <x:f>'2027 배당표'!L65</x:f>
        <x:v>5</x:v>
      </x:c>
      <x:c r="J6" s="296" t="n">
        <x:f>'2027 배당표'!M65</x:f>
        <x:v>15</x:v>
      </x:c>
      <x:c r="K6" s="203"/>
      <x:c r="L6" s="204"/>
      <x:c r="M6" s="296"/>
      <x:c r="N6" s="297" t="n">
        <x:f>'2027 배당표'!W64</x:f>
        <x:v>2</x:v>
      </x:c>
      <x:c r="O6" s="298" t="n">
        <x:f>'2027 배당표'!X64</x:f>
        <x:v>27</x:v>
      </x:c>
      <x:c r="P6" s="298" t="n">
        <x:f>'2027 배당표'!Y64</x:f>
        <x:v>6</x:v>
      </x:c>
      <x:c r="Q6" s="298" t="n">
        <x:f>'2027 배당표'!Z64</x:f>
        <x:v>33</x:v>
      </x:c>
      <x:c r="R6" s="299" t="n">
        <x:f>'2027 배당표'!AA64</x:f>
        <x:v>16.5</x:v>
      </x:c>
    </x:row>
    <x:row r="7" ht="17" customHeight="1">
      <x:c r="A7" s="176"/>
      <x:c r="B7" s="283"/>
      <x:c r="C7" s="283" t="str">
        <x:f>'2027 배당표'!C66</x:f>
        <x:v>자체</x:v>
      </x:c>
      <x:c r="D7" s="283" t="str">
        <x:f>'2027 배당표'!D66</x:f>
        <x:v>역학과 에너지</x:v>
      </x:c>
      <x:c r="E7" s="190"/>
      <x:c r="F7" s="187"/>
      <x:c r="G7" s="284"/>
      <x:c r="H7" s="190"/>
      <x:c r="I7" s="187"/>
      <x:c r="J7" s="284"/>
      <x:c r="K7" s="190" t="n">
        <x:f>'2027 배당표'!Q66</x:f>
        <x:v>3</x:v>
      </x:c>
      <x:c r="L7" s="187" t="n">
        <x:f>'2027 배당표'!R66</x:f>
        <x:v>2</x:v>
      </x:c>
      <x:c r="M7" s="284" t="n">
        <x:f>'2027 배당표'!S66</x:f>
        <x:v>6</x:v>
      </x:c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'2027 배당표'!C67</x:f>
        <x:v>자체</x:v>
      </x:c>
      <x:c r="D8" s="283" t="str">
        <x:f>'2027 배당표'!D67</x:f>
        <x:v>전자기와 양자</x:v>
      </x:c>
      <x:c r="E8" s="190"/>
      <x:c r="F8" s="187"/>
      <x:c r="G8" s="284"/>
      <x:c r="H8" s="190"/>
      <x:c r="I8" s="187"/>
      <x:c r="J8" s="284"/>
      <x:c r="K8" s="190" t="n">
        <x:f>'2027 배당표'!Q67</x:f>
        <x:v>3</x:v>
      </x:c>
      <x:c r="L8" s="187" t="n">
        <x:f>'2027 배당표'!R67</x:f>
        <x:v>2</x:v>
      </x:c>
      <x:c r="M8" s="284" t="n">
        <x:f>'2027 배당표'!S67</x:f>
        <x:v>6</x:v>
      </x:c>
      <x:c r="N8" s="191"/>
      <x:c r="O8" s="188"/>
      <x:c r="P8" s="188"/>
      <x:c r="Q8" s="188"/>
      <x:c r="R8" s="184"/>
    </x:row>
    <x:row r="9" ht="17" customHeight="1">
      <x:c r="A9" s="176"/>
      <x:c r="B9" s="283"/>
      <x:c r="C9" s="283" t="str">
        <x:f>'2027 배당표'!C68</x:f>
        <x:v>통합</x:v>
      </x:c>
      <x:c r="D9" s="283" t="str">
        <x:f>'2027 배당표'!D68</x:f>
        <x:v>통합과학1</x:v>
      </x:c>
      <x:c r="E9" s="190" t="n">
        <x:f>'2027 배당표'!E68</x:f>
        <x:v>4</x:v>
      </x:c>
      <x:c r="F9" s="187" t="n">
        <x:f>'2027 배당표'!F68</x:f>
        <x:v>1</x:v>
      </x:c>
      <x:c r="G9" s="284" t="n">
        <x:f>'2027 배당표'!G68</x:f>
        <x:v>4</x:v>
      </x:c>
      <x:c r="H9" s="190"/>
      <x:c r="I9" s="187"/>
      <x:c r="J9" s="284"/>
      <x:c r="K9" s="190"/>
      <x:c r="L9" s="187"/>
      <x:c r="M9" s="284"/>
      <x:c r="N9" s="191"/>
      <x:c r="O9" s="188"/>
      <x:c r="P9" s="188"/>
      <x:c r="Q9" s="188"/>
      <x:c r="R9" s="184"/>
    </x:row>
    <x:row r="10" ht="17" customHeight="1">
      <x:c r="A10" s="176"/>
      <x:c r="B10" s="283"/>
      <x:c r="C10" s="283" t="str">
        <x:f>'2027 배당표'!C69</x:f>
        <x:v>실험</x:v>
      </x:c>
      <x:c r="D10" s="283" t="str">
        <x:f>'2027 배당표'!D69</x:f>
        <x:v>과학탐구실험1</x:v>
      </x:c>
      <x:c r="E10" s="190" t="n">
        <x:f>'2027 배당표'!E69</x:f>
        <x:v>1</x:v>
      </x:c>
      <x:c r="F10" s="187" t="n">
        <x:f>'2027 배당표'!F69</x:f>
        <x:v>2</x:v>
      </x:c>
      <x:c r="G10" s="284" t="n">
        <x:f>'2027 배당표'!G69</x:f>
        <x:v>2</x:v>
      </x:c>
      <x:c r="H10" s="190"/>
      <x:c r="I10" s="187"/>
      <x:c r="J10" s="284"/>
      <x:c r="K10" s="190"/>
      <x:c r="L10" s="187"/>
      <x:c r="M10" s="284"/>
      <x:c r="N10" s="191"/>
      <x:c r="O10" s="188"/>
      <x:c r="P10" s="188"/>
      <x:c r="Q10" s="188"/>
      <x:c r="R10" s="184"/>
    </x:row>
    <x:row r="11" ht="17" customHeight="1">
      <x:c r="A11" s="176"/>
      <x:c r="B11" s="300" t="str">
        <x:v>화학</x:v>
      </x:c>
      <x:c r="C11" s="295" t="str">
        <x:f>'2027 배당표'!C76</x:f>
        <x:v>자체</x:v>
      </x:c>
      <x:c r="D11" s="295" t="str">
        <x:f>'2027 배당표'!D76</x:f>
        <x:v>화학</x:v>
      </x:c>
      <x:c r="E11" s="203"/>
      <x:c r="F11" s="204"/>
      <x:c r="G11" s="296"/>
      <x:c r="H11" s="203" t="n">
        <x:f>'2027 배당표'!K76</x:f>
        <x:v>3</x:v>
      </x:c>
      <x:c r="I11" s="204" t="n">
        <x:f>'2027 배당표'!L76</x:f>
        <x:v>6</x:v>
      </x:c>
      <x:c r="J11" s="296" t="n">
        <x:f>'2027 배당표'!M76</x:f>
        <x:v>18</x:v>
      </x:c>
      <x:c r="K11" s="203"/>
      <x:c r="L11" s="204"/>
      <x:c r="M11" s="296"/>
      <x:c r="N11" s="297" t="n">
        <x:f>'2027 배당표'!W75</x:f>
        <x:v>3</x:v>
      </x:c>
      <x:c r="O11" s="298" t="n">
        <x:f>'2027 배당표'!X75</x:f>
        <x:v>57</x:v>
      </x:c>
      <x:c r="P11" s="298" t="n">
        <x:f>'2027 배당표'!Y75</x:f>
        <x:v>0</x:v>
      </x:c>
      <x:c r="Q11" s="298" t="n">
        <x:f>'2027 배당표'!Z75</x:f>
        <x:v>57</x:v>
      </x:c>
      <x:c r="R11" s="299" t="n">
        <x:f>'2027 배당표'!AA75</x:f>
        <x:v>19</x:v>
      </x:c>
    </x:row>
    <x:row r="12" ht="17" customHeight="1">
      <x:c r="A12" s="176"/>
      <x:c r="B12" s="283"/>
      <x:c r="C12" s="283" t="str">
        <x:f>'2027 배당표'!C77</x:f>
        <x:v>자체</x:v>
      </x:c>
      <x:c r="D12" s="283" t="str">
        <x:f>'2027 배당표'!D77</x:f>
        <x:v>물질과 에너지</x:v>
      </x:c>
      <x:c r="E12" s="190"/>
      <x:c r="F12" s="187"/>
      <x:c r="G12" s="284"/>
      <x:c r="H12" s="190"/>
      <x:c r="I12" s="187"/>
      <x:c r="J12" s="284"/>
      <x:c r="K12" s="190" t="n">
        <x:f>'2027 배당표'!Q77</x:f>
        <x:v>3</x:v>
      </x:c>
      <x:c r="L12" s="187" t="n">
        <x:f>'2027 배당표'!R77</x:f>
        <x:v>6</x:v>
      </x:c>
      <x:c r="M12" s="284" t="n">
        <x:f>'2027 배당표'!S77</x:f>
        <x:v>18</x:v>
      </x:c>
      <x:c r="N12" s="191"/>
      <x:c r="O12" s="188"/>
      <x:c r="P12" s="188"/>
      <x:c r="Q12" s="188"/>
      <x:c r="R12" s="184"/>
    </x:row>
    <x:row r="13" ht="17" customHeight="1">
      <x:c r="A13" s="176"/>
      <x:c r="B13" s="283"/>
      <x:c r="C13" s="283" t="str">
        <x:f>'2027 배당표'!C78</x:f>
        <x:v>자체</x:v>
      </x:c>
      <x:c r="D13" s="283" t="str">
        <x:f>'2027 배당표'!D78</x:f>
        <x:v>화학 반응의 세계</x:v>
      </x:c>
      <x:c r="E13" s="190"/>
      <x:c r="F13" s="187"/>
      <x:c r="G13" s="284"/>
      <x:c r="H13" s="190"/>
      <x:c r="I13" s="187"/>
      <x:c r="J13" s="284"/>
      <x:c r="K13" s="190" t="n">
        <x:f>'2027 배당표'!Q78</x:f>
        <x:v>3</x:v>
      </x:c>
      <x:c r="L13" s="187" t="n">
        <x:f>'2027 배당표'!R78</x:f>
        <x:v>7</x:v>
      </x:c>
      <x:c r="M13" s="284" t="n">
        <x:f>'2027 배당표'!S78</x:f>
        <x:v>21</x:v>
      </x:c>
      <x:c r="N13" s="191"/>
      <x:c r="O13" s="188"/>
      <x:c r="P13" s="188"/>
      <x:c r="Q13" s="188"/>
      <x:c r="R13" s="184"/>
    </x:row>
    <x:row r="14" ht="17" customHeight="1">
      <x:c r="A14" s="176"/>
      <x:c r="B14" s="300" t="str">
        <x:v>생물</x:v>
      </x:c>
      <x:c r="C14" s="295" t="str">
        <x:f>'2027 배당표'!C87</x:f>
        <x:v>자체</x:v>
      </x:c>
      <x:c r="D14" s="295" t="str">
        <x:f>'2027 배당표'!D87</x:f>
        <x:v>생물의 유전</x:v>
      </x:c>
      <x:c r="E14" s="203"/>
      <x:c r="F14" s="204"/>
      <x:c r="G14" s="296"/>
      <x:c r="H14" s="203"/>
      <x:c r="I14" s="204"/>
      <x:c r="J14" s="296"/>
      <x:c r="K14" s="203" t="n">
        <x:f>'2027 배당표'!Q87</x:f>
        <x:v>3</x:v>
      </x:c>
      <x:c r="L14" s="204" t="n">
        <x:f>'2027 배당표'!R87</x:f>
        <x:v>5</x:v>
      </x:c>
      <x:c r="M14" s="296" t="n">
        <x:f>'2027 배당표'!S87</x:f>
        <x:v>15</x:v>
      </x:c>
      <x:c r="N14" s="297" t="n">
        <x:f>'2027 배당표'!W86</x:f>
        <x:v>3</x:v>
      </x:c>
      <x:c r="O14" s="298" t="n">
        <x:f>'2027 배당표'!X86</x:f>
        <x:v>30</x:v>
      </x:c>
      <x:c r="P14" s="298" t="n">
        <x:f>'2027 배당표'!Y86</x:f>
        <x:v>20</x:v>
      </x:c>
      <x:c r="Q14" s="298" t="n">
        <x:f>'2027 배당표'!Z86</x:f>
        <x:v>50</x:v>
      </x:c>
      <x:c r="R14" s="299" t="n">
        <x:f>'2027 배당표'!AA86</x:f>
        <x:v>16.666666666666668</x:v>
      </x:c>
    </x:row>
    <x:row r="15" ht="17" customHeight="1">
      <x:c r="A15" s="176"/>
      <x:c r="B15" s="283"/>
      <x:c r="C15" s="283" t="str">
        <x:f>'2027 배당표'!C88</x:f>
        <x:v>자체</x:v>
      </x:c>
      <x:c r="D15" s="283" t="str">
        <x:f>'2027 배당표'!D88</x:f>
        <x:v>세포와 물질대사</x:v>
      </x:c>
      <x:c r="E15" s="190"/>
      <x:c r="F15" s="187"/>
      <x:c r="G15" s="284"/>
      <x:c r="H15" s="190"/>
      <x:c r="I15" s="187"/>
      <x:c r="J15" s="284"/>
      <x:c r="K15" s="190" t="n">
        <x:f>'2027 배당표'!Q88</x:f>
        <x:v>3</x:v>
      </x:c>
      <x:c r="L15" s="187" t="n">
        <x:f>'2027 배당표'!R88</x:f>
        <x:v>5</x:v>
      </x:c>
      <x:c r="M15" s="284" t="n">
        <x:f>'2027 배당표'!S88</x:f>
        <x:v>15</x:v>
      </x:c>
      <x:c r="N15" s="191"/>
      <x:c r="O15" s="188"/>
      <x:c r="P15" s="188"/>
      <x:c r="Q15" s="188"/>
      <x:c r="R15" s="184"/>
    </x:row>
    <x:row r="16" ht="17" customHeight="1">
      <x:c r="A16" s="176"/>
      <x:c r="B16" s="283"/>
      <x:c r="C16" s="283" t="str">
        <x:f>'2027 배당표'!C90</x:f>
        <x:v>통합</x:v>
      </x:c>
      <x:c r="D16" s="283" t="str">
        <x:f>'2027 배당표'!D90</x:f>
        <x:v>통합과학1</x:v>
      </x:c>
      <x:c r="E16" s="190" t="n">
        <x:f>'2027 배당표'!E90</x:f>
        <x:v>4</x:v>
      </x:c>
      <x:c r="F16" s="187" t="n">
        <x:f>'2027 배당표'!F90</x:f>
        <x:v>4</x:v>
      </x:c>
      <x:c r="G16" s="284" t="n">
        <x:f>'2027 배당표'!G90</x:f>
        <x:v>16</x:v>
      </x:c>
      <x:c r="H16" s="190"/>
      <x:c r="I16" s="187"/>
      <x:c r="J16" s="284"/>
      <x:c r="K16" s="190"/>
      <x:c r="L16" s="187"/>
      <x:c r="M16" s="284"/>
      <x:c r="N16" s="191"/>
      <x:c r="O16" s="188"/>
      <x:c r="P16" s="188"/>
      <x:c r="Q16" s="188"/>
      <x:c r="R16" s="184"/>
    </x:row>
    <x:row r="17" ht="17" customHeight="1">
      <x:c r="A17" s="176"/>
      <x:c r="B17" s="283"/>
      <x:c r="C17" s="283" t="str">
        <x:f>'2027 배당표'!C91</x:f>
        <x:v>실험</x:v>
      </x:c>
      <x:c r="D17" s="283" t="str">
        <x:f>'2027 배당표'!D91</x:f>
        <x:v>과학탐구실험1</x:v>
      </x:c>
      <x:c r="E17" s="190" t="n">
        <x:f>'2027 배당표'!E91</x:f>
        <x:v>1</x:v>
      </x:c>
      <x:c r="F17" s="187" t="n">
        <x:f>'2027 배당표'!F91</x:f>
        <x:v>4</x:v>
      </x:c>
      <x:c r="G17" s="284" t="n">
        <x:f>'2027 배당표'!G91</x:f>
        <x:v>4</x:v>
      </x:c>
      <x:c r="H17" s="190"/>
      <x:c r="I17" s="187"/>
      <x:c r="J17" s="284"/>
      <x:c r="K17" s="190"/>
      <x:c r="L17" s="187"/>
      <x:c r="M17" s="284"/>
      <x:c r="N17" s="191"/>
      <x:c r="O17" s="188"/>
      <x:c r="P17" s="188"/>
      <x:c r="Q17" s="188"/>
      <x:c r="R17" s="184"/>
    </x:row>
    <x:row r="18" ht="17" customHeight="1">
      <x:c r="A18" s="176"/>
      <x:c r="B18" s="300" t="str">
        <x:v>지구과학</x:v>
      </x:c>
      <x:c r="C18" s="295" t="str">
        <x:f>'2027 배당표'!C98</x:f>
        <x:v>자체</x:v>
      </x:c>
      <x:c r="D18" s="295" t="str">
        <x:f>'2027 배당표'!D98</x:f>
        <x:v>지구과학</x:v>
      </x:c>
      <x:c r="E18" s="203"/>
      <x:c r="F18" s="204"/>
      <x:c r="G18" s="296"/>
      <x:c r="H18" s="203" t="n">
        <x:f>'2027 배당표'!K98</x:f>
        <x:v>3</x:v>
      </x:c>
      <x:c r="I18" s="204" t="n">
        <x:f>'2027 배당표'!L98</x:f>
        <x:v>5</x:v>
      </x:c>
      <x:c r="J18" s="296" t="n">
        <x:f>'2027 배당표'!M98</x:f>
        <x:v>15</x:v>
      </x:c>
      <x:c r="K18" s="203"/>
      <x:c r="L18" s="204"/>
      <x:c r="M18" s="296"/>
      <x:c r="N18" s="297" t="n">
        <x:f>'2027 배당표'!W97</x:f>
        <x:v>3</x:v>
      </x:c>
      <x:c r="O18" s="298" t="n">
        <x:f>'2027 배당표'!X97</x:f>
        <x:v>15</x:v>
      </x:c>
      <x:c r="P18" s="298" t="n">
        <x:f>'2027 배당표'!Y97</x:f>
        <x:v>34</x:v>
      </x:c>
      <x:c r="Q18" s="298" t="n">
        <x:f>'2027 배당표'!Z97</x:f>
        <x:v>49</x:v>
      </x:c>
      <x:c r="R18" s="299" t="n">
        <x:f>'2027 배당표'!AA97</x:f>
        <x:v>16.333333333333332</x:v>
      </x:c>
    </x:row>
    <x:row r="19" ht="17" customHeight="1">
      <x:c r="A19" s="176"/>
      <x:c r="B19" s="283"/>
      <x:c r="C19" s="283" t="str">
        <x:f>'2027 배당표'!C101</x:f>
        <x:v>통합</x:v>
      </x:c>
      <x:c r="D19" s="283" t="str">
        <x:f>'2027 배당표'!D101</x:f>
        <x:v>통합과학1</x:v>
      </x:c>
      <x:c r="E19" s="190" t="n">
        <x:f>'2027 배당표'!E101</x:f>
        <x:v>4</x:v>
      </x:c>
      <x:c r="F19" s="187" t="n">
        <x:f>'2027 배당표'!F101</x:f>
        <x:v>7</x:v>
      </x:c>
      <x:c r="G19" s="284" t="n">
        <x:f>'2027 배당표'!G101</x:f>
        <x:v>28</x:v>
      </x:c>
      <x:c r="H19" s="190"/>
      <x:c r="I19" s="187"/>
      <x:c r="J19" s="284"/>
      <x:c r="K19" s="190"/>
      <x:c r="L19" s="187"/>
      <x:c r="M19" s="284"/>
      <x:c r="N19" s="191"/>
      <x:c r="O19" s="188"/>
      <x:c r="P19" s="188"/>
      <x:c r="Q19" s="188"/>
      <x:c r="R19" s="184"/>
    </x:row>
    <x:row r="20" ht="17" customHeight="1">
      <x:c r="A20" s="176"/>
      <x:c r="B20" s="283"/>
      <x:c r="C20" s="283" t="str">
        <x:f>'2027 배당표'!C102</x:f>
        <x:v>실험</x:v>
      </x:c>
      <x:c r="D20" s="283" t="str">
        <x:f>'2027 배당표'!D102</x:f>
        <x:v>과학탐구실험1</x:v>
      </x:c>
      <x:c r="E20" s="190" t="n">
        <x:f>'2027 배당표'!E102</x:f>
        <x:v>1</x:v>
      </x:c>
      <x:c r="F20" s="187" t="n">
        <x:f>'2027 배당표'!F102</x:f>
        <x:v>6</x:v>
      </x:c>
      <x:c r="G20" s="284" t="n">
        <x:f>'2027 배당표'!G102</x:f>
        <x:v>6</x:v>
      </x:c>
      <x:c r="H20" s="190"/>
      <x:c r="I20" s="187"/>
      <x:c r="J20" s="284"/>
      <x:c r="K20" s="190"/>
      <x:c r="L20" s="187"/>
      <x:c r="M20" s="284"/>
      <x:c r="N20" s="191"/>
      <x:c r="O20" s="188"/>
      <x:c r="P20" s="188"/>
      <x:c r="Q20" s="188"/>
      <x:c r="R20" s="184"/>
    </x:row>
    <x:row r="21" ht="18" customHeight="1">
      <x:c r="A21" s="176"/>
      <x:c r="B21" s="305" t="str">
        <x:v>과학 전체</x:v>
      </x:c>
      <x:c r="C21" s="304"/>
      <x:c r="D21" s="304"/>
      <x:c r="E21" s="304"/>
      <x:c r="F21" s="304"/>
      <x:c r="G21" s="304" t="n">
        <x:f>SUM(G6:G20)</x:f>
        <x:v>60</x:v>
      </x:c>
      <x:c r="H21" s="304"/>
      <x:c r="I21" s="304"/>
      <x:c r="J21" s="304" t="n">
        <x:f>SUM(J6:J20)</x:f>
        <x:v>48</x:v>
      </x:c>
      <x:c r="K21" s="304"/>
      <x:c r="L21" s="304"/>
      <x:c r="M21" s="304" t="n">
        <x:f>SUM(M6:M20)</x:f>
        <x:v>81</x:v>
      </x:c>
      <x:c r="N21" s="304" t="n">
        <x:f>'2027 배당표'!W109</x:f>
        <x:v>11</x:v>
      </x:c>
      <x:c r="O21" s="304" t="n">
        <x:f>'2027 배당표'!X109</x:f>
        <x:v>129</x:v>
      </x:c>
      <x:c r="P21" s="304" t="n">
        <x:f>'2027 배당표'!Y109</x:f>
        <x:v>60</x:v>
      </x:c>
      <x:c r="Q21" s="304" t="n">
        <x:f>'2027 배당표'!Z109</x:f>
        <x:v>189</x:v>
      </x:c>
      <x:c r="R21" s="306" t="n">
        <x:f>'2027 배당표'!AA109</x:f>
        <x:v>17.181818181818183</x:v>
      </x:c>
    </x:row>
    <x:row r="22" ht="12" customHeight="1">
      <x:c r="A22" s="176"/>
      <x:c r="B22" s="216" t="str">
        <x:v>2026.9.28. 최종 선택자료 반영. 교사 수는 2026학년도 정원 참고값입니다.</x:v>
      </x:c>
      <x:c r="C22" s="216"/>
      <x:c r="D22" s="216"/>
      <x:c r="E22" s="216"/>
      <x:c r="F22" s="216"/>
      <x:c r="G22" s="216"/>
      <x:c r="H22" s="216"/>
      <x:c r="I22" s="216"/>
      <x:c r="J22" s="216"/>
      <x:c r="K22" s="216"/>
      <x:c r="L22" s="216"/>
      <x:c r="M22" s="216"/>
      <x:c r="N22" s="216"/>
      <x:c r="O22" s="216"/>
      <x:c r="P22" s="216"/>
      <x:c r="Q22" s="216"/>
      <x:c r="R22" s="216"/>
    </x:row>
    <x:row r="23" ht="12" customHeight="1">
      <x:c r="A23" s="176"/>
      <x:c r="B23" s="216" t="str">
        <x:f>IF(SUM(G21,J21,M21)=Q21,"교육과정상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3" s="216"/>
      <x:c r="D23" s="216"/>
      <x:c r="E23" s="216"/>
      <x:c r="F23" s="216"/>
      <x:c r="G23" s="216"/>
      <x:c r="H23" s="216"/>
      <x:c r="I23" s="216"/>
      <x:c r="J23" s="216"/>
      <x:c r="K23" s="216"/>
      <x:c r="L23" s="216"/>
      <x:c r="M23" s="216"/>
      <x:c r="N23" s="216"/>
      <x:c r="O23" s="216"/>
      <x:c r="P23" s="216"/>
      <x:c r="Q23" s="216"/>
      <x:c r="R23" s="216"/>
    </x:row>
    <x:row r="24" ht="17" customHeight="1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</x:row>
    <x:row r="25" ht="17" customHeight="1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</x:row>
    <x:row r="26" ht="24" customHeight="1">
      <x:c r="A26" s="176"/>
      <x:c r="B26" s="177" t="str">
        <x:v>2027학년도 과학 주간수업 배당표</x:v>
      </x:c>
      <x:c r="C26" s="177"/>
      <x:c r="D26" s="177"/>
      <x:c r="E26" s="177"/>
      <x:c r="F26" s="177"/>
      <x:c r="G26" s="177"/>
      <x:c r="H26" s="177"/>
      <x:c r="I26" s="177"/>
      <x:c r="J26" s="177"/>
      <x:c r="K26" s="177"/>
      <x:c r="L26" s="177"/>
      <x:c r="M26" s="177"/>
      <x:c r="N26" s="177"/>
      <x:c r="O26" s="177"/>
      <x:c r="P26" s="177"/>
      <x:c r="Q26" s="177"/>
      <x:c r="R26" s="177"/>
    </x:row>
    <x:row r="27" ht="16" customHeight="1">
      <x:c r="A27" s="176"/>
      <x:c r="B27" s="178" t="str">
        <x:v>2학기  /  기존안·변경안 공통  /  단위: 시간·주, 반, 명</x:v>
      </x:c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</x:row>
    <x:row r="28" ht="22" customHeight="1">
      <x:c r="A28" s="176"/>
      <x:c r="B28" s="282" t="str">
        <x:v>담당
교과</x:v>
      </x:c>
      <x:c r="C28" s="282" t="str">
        <x:v>구분</x:v>
      </x:c>
      <x:c r="D28" s="282" t="str">
        <x:v>과목명</x:v>
      </x:c>
      <x:c r="E28" s="282" t="str">
        <x:v>1학년 (12학급)</x:v>
      </x:c>
      <x:c r="F28" s="282"/>
      <x:c r="G28" s="282"/>
      <x:c r="H28" s="282" t="str">
        <x:v>2학년 (13학급)</x:v>
      </x:c>
      <x:c r="I28" s="282"/>
      <x:c r="J28" s="282"/>
      <x:c r="K28" s="282" t="str">
        <x:v>3학년 (13학급)</x:v>
      </x:c>
      <x:c r="L28" s="282"/>
      <x:c r="M28" s="282"/>
      <x:c r="N28" s="282" t="str">
        <x:v>교사
수</x:v>
      </x:c>
      <x:c r="O28" s="282" t="str">
        <x:v>자체
시수</x:v>
      </x:c>
      <x:c r="P28" s="282" t="str">
        <x:v>배정
시수</x:v>
      </x:c>
      <x:c r="Q28" s="282" t="str">
        <x:v>교과
총시수</x:v>
      </x:c>
      <x:c r="R28" s="282" t="str">
        <x:v>교사 1인
평균</x:v>
      </x:c>
    </x:row>
    <x:row r="29" ht="22" customHeight="1">
      <x:c r="A29" s="176"/>
      <x:c r="B29" s="282"/>
      <x:c r="C29" s="282"/>
      <x:c r="D29" s="282"/>
      <x:c r="E29" s="282" t="str">
        <x:v>반당
시수</x:v>
      </x:c>
      <x:c r="F29" s="282" t="str">
        <x:v>개설
반 수</x:v>
      </x:c>
      <x:c r="G29" s="282" t="str">
        <x:v>교과
시수</x:v>
      </x:c>
      <x:c r="H29" s="282" t="str">
        <x:v>반당
시수</x:v>
      </x:c>
      <x:c r="I29" s="282" t="str">
        <x:v>개설
반 수</x:v>
      </x:c>
      <x:c r="J29" s="282" t="str">
        <x:v>교과
시수</x:v>
      </x:c>
      <x:c r="K29" s="282" t="str">
        <x:v>반당
시수</x:v>
      </x:c>
      <x:c r="L29" s="282" t="str">
        <x:v>개설
반 수</x:v>
      </x:c>
      <x:c r="M29" s="282" t="str">
        <x:v>교과
시수</x:v>
      </x:c>
      <x:c r="N29" s="282"/>
      <x:c r="O29" s="282"/>
      <x:c r="P29" s="282"/>
      <x:c r="Q29" s="282"/>
      <x:c r="R29" s="282"/>
    </x:row>
    <x:row r="30" ht="17" customHeight="1">
      <x:c r="A30" s="176"/>
      <x:c r="B30" s="300" t="str">
        <x:v>물리</x:v>
      </x:c>
      <x:c r="C30" s="295" t="str">
        <x:f>'2027 배당표'!C66</x:f>
        <x:v>자체</x:v>
      </x:c>
      <x:c r="D30" s="295" t="str">
        <x:f>'2027 배당표'!D66</x:f>
        <x:v>역학과 에너지</x:v>
      </x:c>
      <x:c r="E30" s="203"/>
      <x:c r="F30" s="204"/>
      <x:c r="G30" s="296"/>
      <x:c r="H30" s="203" t="n">
        <x:f>'2027 배당표'!N66</x:f>
        <x:v>3</x:v>
      </x:c>
      <x:c r="I30" s="204" t="n">
        <x:f>'2027 배당표'!O66</x:f>
        <x:v>4</x:v>
      </x:c>
      <x:c r="J30" s="296" t="n">
        <x:f>'2027 배당표'!P66</x:f>
        <x:v>12</x:v>
      </x:c>
      <x:c r="K30" s="203"/>
      <x:c r="L30" s="204"/>
      <x:c r="M30" s="296"/>
      <x:c r="N30" s="297" t="n">
        <x:f>'2027 배당표'!W64</x:f>
        <x:v>2</x:v>
      </x:c>
      <x:c r="O30" s="298" t="n">
        <x:f>'2027 배당표'!AB64</x:f>
        <x:v>12</x:v>
      </x:c>
      <x:c r="P30" s="298" t="n">
        <x:f>'2027 배당표'!AC64</x:f>
        <x:v>24</x:v>
      </x:c>
      <x:c r="Q30" s="298" t="n">
        <x:f>'2027 배당표'!AD64</x:f>
        <x:v>36</x:v>
      </x:c>
      <x:c r="R30" s="299" t="n">
        <x:f>'2027 배당표'!AE64</x:f>
        <x:v>18</x:v>
      </x:c>
    </x:row>
    <x:row r="31" ht="17" customHeight="1">
      <x:c r="A31" s="176"/>
      <x:c r="B31" s="283"/>
      <x:c r="C31" s="283" t="str">
        <x:f>'2027 배당표'!C70</x:f>
        <x:v>통합</x:v>
      </x:c>
      <x:c r="D31" s="283" t="str">
        <x:f>'2027 배당표'!D70</x:f>
        <x:v>통합과학2</x:v>
      </x:c>
      <x:c r="E31" s="190" t="n">
        <x:f>'2027 배당표'!H70</x:f>
        <x:v>4</x:v>
      </x:c>
      <x:c r="F31" s="187" t="n">
        <x:f>'2027 배당표'!I70</x:f>
        <x:v>3</x:v>
      </x:c>
      <x:c r="G31" s="284" t="n">
        <x:f>'2027 배당표'!J70</x:f>
        <x:v>12</x:v>
      </x:c>
      <x:c r="H31" s="190"/>
      <x:c r="I31" s="187"/>
      <x:c r="J31" s="284"/>
      <x:c r="K31" s="190"/>
      <x:c r="L31" s="187"/>
      <x:c r="M31" s="284"/>
      <x:c r="N31" s="191"/>
      <x:c r="O31" s="188"/>
      <x:c r="P31" s="188"/>
      <x:c r="Q31" s="188"/>
      <x:c r="R31" s="184"/>
    </x:row>
    <x:row r="32" ht="17" customHeight="1">
      <x:c r="A32" s="176"/>
      <x:c r="B32" s="283"/>
      <x:c r="C32" s="283" t="str">
        <x:f>'2027 배당표'!C71</x:f>
        <x:v>실험</x:v>
      </x:c>
      <x:c r="D32" s="283" t="str">
        <x:f>'2027 배당표'!D71</x:f>
        <x:v>과학탐구실험2</x:v>
      </x:c>
      <x:c r="E32" s="190" t="n">
        <x:f>'2027 배당표'!H71</x:f>
        <x:v>1</x:v>
      </x:c>
      <x:c r="F32" s="187" t="n">
        <x:f>'2027 배당표'!I71</x:f>
        <x:v>3</x:v>
      </x:c>
      <x:c r="G32" s="284" t="n">
        <x:f>'2027 배당표'!J71</x:f>
        <x:v>3</x:v>
      </x:c>
      <x:c r="H32" s="190"/>
      <x:c r="I32" s="187"/>
      <x:c r="J32" s="284"/>
      <x:c r="K32" s="190"/>
      <x:c r="L32" s="187"/>
      <x:c r="M32" s="284"/>
      <x:c r="N32" s="191"/>
      <x:c r="O32" s="188"/>
      <x:c r="P32" s="188"/>
      <x:c r="Q32" s="188"/>
      <x:c r="R32" s="184"/>
    </x:row>
    <x:row r="33" ht="17" customHeight="1">
      <x:c r="A33" s="176"/>
      <x:c r="B33" s="283"/>
      <x:c r="C33" s="283" t="str">
        <x:f>'2027 배당표'!C72</x:f>
        <x:v>융합</x:v>
      </x:c>
      <x:c r="D33" s="283" t="str">
        <x:f>'2027 배당표'!D72</x:f>
        <x:v>과학의 역사와 문화</x:v>
      </x:c>
      <x:c r="E33" s="190"/>
      <x:c r="F33" s="187"/>
      <x:c r="G33" s="284"/>
      <x:c r="H33" s="190"/>
      <x:c r="I33" s="187"/>
      <x:c r="J33" s="284"/>
      <x:c r="K33" s="190" t="n">
        <x:f>'2027 배당표'!T72</x:f>
        <x:v>3</x:v>
      </x:c>
      <x:c r="L33" s="187" t="n">
        <x:f>'2027 배당표'!U72</x:f>
        <x:v>2</x:v>
      </x:c>
      <x:c r="M33" s="284" t="n">
        <x:f>'2027 배당표'!V72</x:f>
        <x:v>6</x:v>
      </x:c>
      <x:c r="N33" s="191"/>
      <x:c r="O33" s="188"/>
      <x:c r="P33" s="188"/>
      <x:c r="Q33" s="188"/>
      <x:c r="R33" s="184"/>
    </x:row>
    <x:row r="34" ht="17" customHeight="1">
      <x:c r="A34" s="176"/>
      <x:c r="B34" s="283"/>
      <x:c r="C34" s="283" t="str">
        <x:f>'2027 배당표'!C74</x:f>
        <x:v>융합</x:v>
      </x:c>
      <x:c r="D34" s="283" t="str">
        <x:f>'2027 배당표'!D74</x:f>
        <x:v>융합과학 탐구</x:v>
      </x:c>
      <x:c r="E34" s="190"/>
      <x:c r="F34" s="187"/>
      <x:c r="G34" s="284"/>
      <x:c r="H34" s="190"/>
      <x:c r="I34" s="187"/>
      <x:c r="J34" s="284"/>
      <x:c r="K34" s="190" t="n">
        <x:f>'2027 배당표'!T74</x:f>
        <x:v>3</x:v>
      </x:c>
      <x:c r="L34" s="187" t="n">
        <x:f>'2027 배당표'!U74</x:f>
        <x:v>1</x:v>
      </x:c>
      <x:c r="M34" s="284" t="n">
        <x:f>'2027 배당표'!V74</x:f>
        <x:v>3</x:v>
      </x:c>
      <x:c r="N34" s="191"/>
      <x:c r="O34" s="188"/>
      <x:c r="P34" s="188"/>
      <x:c r="Q34" s="188"/>
      <x:c r="R34" s="184"/>
    </x:row>
    <x:row r="35" ht="17" customHeight="1">
      <x:c r="A35" s="176"/>
      <x:c r="B35" s="300" t="str">
        <x:v>화학</x:v>
      </x:c>
      <x:c r="C35" s="295" t="str">
        <x:f>'2027 배당표'!C81</x:f>
        <x:v>통합</x:v>
      </x:c>
      <x:c r="D35" s="295" t="str">
        <x:f>'2027 배당표'!D81</x:f>
        <x:v>통합과학2</x:v>
      </x:c>
      <x:c r="E35" s="203" t="n">
        <x:f>'2027 배당표'!H81</x:f>
        <x:v>4</x:v>
      </x:c>
      <x:c r="F35" s="204" t="n">
        <x:f>'2027 배당표'!I81</x:f>
        <x:v>9</x:v>
      </x:c>
      <x:c r="G35" s="296" t="n">
        <x:f>'2027 배당표'!J81</x:f>
        <x:v>36</x:v>
      </x:c>
      <x:c r="H35" s="203"/>
      <x:c r="I35" s="204"/>
      <x:c r="J35" s="296"/>
      <x:c r="K35" s="203"/>
      <x:c r="L35" s="204"/>
      <x:c r="M35" s="296"/>
      <x:c r="N35" s="297" t="n">
        <x:f>'2027 배당표'!W75</x:f>
        <x:v>3</x:v>
      </x:c>
      <x:c r="O35" s="298" t="n">
        <x:f>'2027 배당표'!AB75</x:f>
        <x:v>0</x:v>
      </x:c>
      <x:c r="P35" s="298" t="n">
        <x:f>'2027 배당표'!AC75</x:f>
        <x:v>53</x:v>
      </x:c>
      <x:c r="Q35" s="298" t="n">
        <x:f>'2027 배당표'!AD75</x:f>
        <x:v>53</x:v>
      </x:c>
      <x:c r="R35" s="299" t="n">
        <x:f>'2027 배당표'!AE75</x:f>
        <x:v>17.666666666666668</x:v>
      </x:c>
    </x:row>
    <x:row r="36" ht="17" customHeight="1">
      <x:c r="A36" s="176"/>
      <x:c r="B36" s="283"/>
      <x:c r="C36" s="283" t="str">
        <x:f>'2027 배당표'!C82</x:f>
        <x:v>실험</x:v>
      </x:c>
      <x:c r="D36" s="283" t="str">
        <x:f>'2027 배당표'!D82</x:f>
        <x:v>과학탐구실험2</x:v>
      </x:c>
      <x:c r="E36" s="190" t="n">
        <x:f>'2027 배당표'!H82</x:f>
        <x:v>1</x:v>
      </x:c>
      <x:c r="F36" s="187" t="n">
        <x:f>'2027 배당표'!I82</x:f>
        <x:v>2</x:v>
      </x:c>
      <x:c r="G36" s="284" t="n">
        <x:f>'2027 배당표'!J82</x:f>
        <x:v>2</x:v>
      </x:c>
      <x:c r="H36" s="190"/>
      <x:c r="I36" s="187"/>
      <x:c r="J36" s="284"/>
      <x:c r="K36" s="190"/>
      <x:c r="L36" s="187"/>
      <x:c r="M36" s="284"/>
      <x:c r="N36" s="191"/>
      <x:c r="O36" s="188"/>
      <x:c r="P36" s="188"/>
      <x:c r="Q36" s="188"/>
      <x:c r="R36" s="184"/>
    </x:row>
    <x:row r="37" ht="17" customHeight="1">
      <x:c r="A37" s="176"/>
      <x:c r="B37" s="283"/>
      <x:c r="C37" s="283" t="str">
        <x:f>'2027 배당표'!C83</x:f>
        <x:v>융합</x:v>
      </x:c>
      <x:c r="D37" s="283" t="str">
        <x:f>'2027 배당표'!D83</x:f>
        <x:v>과학의 역사와 문화</x:v>
      </x:c>
      <x:c r="E37" s="190"/>
      <x:c r="F37" s="187"/>
      <x:c r="G37" s="284"/>
      <x:c r="H37" s="190"/>
      <x:c r="I37" s="187"/>
      <x:c r="J37" s="284"/>
      <x:c r="K37" s="190" t="n">
        <x:f>'2027 배당표'!T83</x:f>
        <x:v>3</x:v>
      </x:c>
      <x:c r="L37" s="187" t="n">
        <x:f>'2027 배당표'!U83</x:f>
        <x:v>3</x:v>
      </x:c>
      <x:c r="M37" s="284" t="n">
        <x:f>'2027 배당표'!V83</x:f>
        <x:v>9</x:v>
      </x:c>
      <x:c r="N37" s="191"/>
      <x:c r="O37" s="188"/>
      <x:c r="P37" s="188"/>
      <x:c r="Q37" s="188"/>
      <x:c r="R37" s="184"/>
    </x:row>
    <x:row r="38" ht="17" customHeight="1">
      <x:c r="A38" s="176"/>
      <x:c r="B38" s="283"/>
      <x:c r="C38" s="283" t="str">
        <x:f>'2027 배당표'!C85</x:f>
        <x:v>융합</x:v>
      </x:c>
      <x:c r="D38" s="283" t="str">
        <x:f>'2027 배당표'!D85</x:f>
        <x:v>융합과학 탐구</x:v>
      </x:c>
      <x:c r="E38" s="190"/>
      <x:c r="F38" s="187"/>
      <x:c r="G38" s="284"/>
      <x:c r="H38" s="190"/>
      <x:c r="I38" s="187"/>
      <x:c r="J38" s="284"/>
      <x:c r="K38" s="190" t="n">
        <x:f>'2027 배당표'!T85</x:f>
        <x:v>3</x:v>
      </x:c>
      <x:c r="L38" s="187" t="n">
        <x:f>'2027 배당표'!U85</x:f>
        <x:v>2</x:v>
      </x:c>
      <x:c r="M38" s="284" t="n">
        <x:f>'2027 배당표'!V85</x:f>
        <x:v>6</x:v>
      </x:c>
      <x:c r="N38" s="191"/>
      <x:c r="O38" s="188"/>
      <x:c r="P38" s="188"/>
      <x:c r="Q38" s="188"/>
      <x:c r="R38" s="184"/>
    </x:row>
    <x:row r="39" ht="17" customHeight="1">
      <x:c r="A39" s="176"/>
      <x:c r="B39" s="300" t="str">
        <x:v>생물</x:v>
      </x:c>
      <x:c r="C39" s="295" t="str">
        <x:f>'2027 배당표'!C87</x:f>
        <x:v>자체</x:v>
      </x:c>
      <x:c r="D39" s="295" t="str">
        <x:f>'2027 배당표'!D87</x:f>
        <x:v>생물의 유전</x:v>
      </x:c>
      <x:c r="E39" s="203"/>
      <x:c r="F39" s="204"/>
      <x:c r="G39" s="296"/>
      <x:c r="H39" s="203" t="n">
        <x:f>'2027 배당표'!N87</x:f>
        <x:v>3</x:v>
      </x:c>
      <x:c r="I39" s="204" t="n">
        <x:f>'2027 배당표'!O87</x:f>
        <x:v>5</x:v>
      </x:c>
      <x:c r="J39" s="296" t="n">
        <x:f>'2027 배당표'!P87</x:f>
        <x:v>15</x:v>
      </x:c>
      <x:c r="K39" s="203"/>
      <x:c r="L39" s="204"/>
      <x:c r="M39" s="296"/>
      <x:c r="N39" s="297" t="n">
        <x:f>'2027 배당표'!W86</x:f>
        <x:v>3</x:v>
      </x:c>
      <x:c r="O39" s="298" t="n">
        <x:f>'2027 배당표'!AB86</x:f>
        <x:v>36</x:v>
      </x:c>
      <x:c r="P39" s="298" t="n">
        <x:f>'2027 배당표'!AC86</x:f>
        <x:v>17</x:v>
      </x:c>
      <x:c r="Q39" s="298" t="n">
        <x:f>'2027 배당표'!AD86</x:f>
        <x:v>53</x:v>
      </x:c>
      <x:c r="R39" s="299" t="n">
        <x:f>'2027 배당표'!AE86</x:f>
        <x:v>17.666666666666668</x:v>
      </x:c>
    </x:row>
    <x:row r="40" ht="17" customHeight="1">
      <x:c r="A40" s="176"/>
      <x:c r="B40" s="283"/>
      <x:c r="C40" s="283" t="str">
        <x:f>'2027 배당표'!C89</x:f>
        <x:v>자체</x:v>
      </x:c>
      <x:c r="D40" s="283" t="str">
        <x:f>'2027 배당표'!D89</x:f>
        <x:v>생명과학</x:v>
      </x:c>
      <x:c r="E40" s="190"/>
      <x:c r="F40" s="187"/>
      <x:c r="G40" s="284"/>
      <x:c r="H40" s="190" t="n">
        <x:f>'2027 배당표'!N89</x:f>
        <x:v>3</x:v>
      </x:c>
      <x:c r="I40" s="187" t="n">
        <x:f>'2027 배당표'!O89</x:f>
        <x:v>7</x:v>
      </x:c>
      <x:c r="J40" s="284" t="n">
        <x:f>'2027 배당표'!P89</x:f>
        <x:v>21</x:v>
      </x:c>
      <x:c r="K40" s="190"/>
      <x:c r="L40" s="187"/>
      <x:c r="M40" s="284"/>
      <x:c r="N40" s="191"/>
      <x:c r="O40" s="188"/>
      <x:c r="P40" s="188"/>
      <x:c r="Q40" s="188"/>
      <x:c r="R40" s="184"/>
    </x:row>
    <x:row r="41" ht="17" customHeight="1">
      <x:c r="A41" s="176"/>
      <x:c r="B41" s="283"/>
      <x:c r="C41" s="283" t="str">
        <x:f>'2027 배당표'!C93</x:f>
        <x:v>실험</x:v>
      </x:c>
      <x:c r="D41" s="283" t="str">
        <x:f>'2027 배당표'!D93</x:f>
        <x:v>과학탐구실험2</x:v>
      </x:c>
      <x:c r="E41" s="190" t="n">
        <x:f>'2027 배당표'!H93</x:f>
        <x:v>1</x:v>
      </x:c>
      <x:c r="F41" s="187" t="n">
        <x:f>'2027 배당표'!I93</x:f>
        <x:v>2</x:v>
      </x:c>
      <x:c r="G41" s="284" t="n">
        <x:f>'2027 배당표'!J93</x:f>
        <x:v>2</x:v>
      </x:c>
      <x:c r="H41" s="190"/>
      <x:c r="I41" s="187"/>
      <x:c r="J41" s="284"/>
      <x:c r="K41" s="190"/>
      <x:c r="L41" s="187"/>
      <x:c r="M41" s="284"/>
      <x:c r="N41" s="191"/>
      <x:c r="O41" s="188"/>
      <x:c r="P41" s="188"/>
      <x:c r="Q41" s="188"/>
      <x:c r="R41" s="184"/>
    </x:row>
    <x:row r="42" ht="17" customHeight="1">
      <x:c r="A42" s="176"/>
      <x:c r="B42" s="283"/>
      <x:c r="C42" s="283" t="str">
        <x:f>'2027 배당표'!C94</x:f>
        <x:v>융합</x:v>
      </x:c>
      <x:c r="D42" s="283" t="str">
        <x:f>'2027 배당표'!D94</x:f>
        <x:v>과학의 역사와 문화</x:v>
      </x:c>
      <x:c r="E42" s="190"/>
      <x:c r="F42" s="187"/>
      <x:c r="G42" s="284"/>
      <x:c r="H42" s="190"/>
      <x:c r="I42" s="187"/>
      <x:c r="J42" s="284"/>
      <x:c r="K42" s="190" t="n">
        <x:f>'2027 배당표'!T94</x:f>
        <x:v>3</x:v>
      </x:c>
      <x:c r="L42" s="187" t="n">
        <x:f>'2027 배당표'!U94</x:f>
        <x:v>1</x:v>
      </x:c>
      <x:c r="M42" s="284" t="n">
        <x:f>'2027 배당표'!V94</x:f>
        <x:v>3</x:v>
      </x:c>
      <x:c r="N42" s="191"/>
      <x:c r="O42" s="188"/>
      <x:c r="P42" s="188"/>
      <x:c r="Q42" s="188"/>
      <x:c r="R42" s="184"/>
    </x:row>
    <x:row r="43" ht="17" customHeight="1">
      <x:c r="A43" s="176"/>
      <x:c r="B43" s="283"/>
      <x:c r="C43" s="283" t="str">
        <x:f>'2027 배당표'!C95</x:f>
        <x:v>융합</x:v>
      </x:c>
      <x:c r="D43" s="283" t="str">
        <x:f>'2027 배당표'!D95</x:f>
        <x:v>기후변화와 환경생태</x:v>
      </x:c>
      <x:c r="E43" s="190"/>
      <x:c r="F43" s="187"/>
      <x:c r="G43" s="284"/>
      <x:c r="H43" s="190"/>
      <x:c r="I43" s="187"/>
      <x:c r="J43" s="284"/>
      <x:c r="K43" s="190" t="n">
        <x:f>'2027 배당표'!T95</x:f>
        <x:v>3</x:v>
      </x:c>
      <x:c r="L43" s="187" t="n">
        <x:f>'2027 배당표'!U95</x:f>
        <x:v>1</x:v>
      </x:c>
      <x:c r="M43" s="284" t="n">
        <x:f>'2027 배당표'!V95</x:f>
        <x:v>3</x:v>
      </x:c>
      <x:c r="N43" s="191"/>
      <x:c r="O43" s="188"/>
      <x:c r="P43" s="188"/>
      <x:c r="Q43" s="188"/>
      <x:c r="R43" s="184"/>
    </x:row>
    <x:row r="44" ht="17" customHeight="1">
      <x:c r="A44" s="176"/>
      <x:c r="B44" s="283"/>
      <x:c r="C44" s="283" t="str">
        <x:f>'2027 배당표'!C96</x:f>
        <x:v>융합</x:v>
      </x:c>
      <x:c r="D44" s="283" t="str">
        <x:f>'2027 배당표'!D96</x:f>
        <x:v>융합과학 탐구</x:v>
      </x:c>
      <x:c r="E44" s="190"/>
      <x:c r="F44" s="187"/>
      <x:c r="G44" s="284"/>
      <x:c r="H44" s="190"/>
      <x:c r="I44" s="187"/>
      <x:c r="J44" s="284"/>
      <x:c r="K44" s="190" t="n">
        <x:f>'2027 배당표'!T96</x:f>
        <x:v>3</x:v>
      </x:c>
      <x:c r="L44" s="187" t="n">
        <x:f>'2027 배당표'!U96</x:f>
        <x:v>3</x:v>
      </x:c>
      <x:c r="M44" s="284" t="n">
        <x:f>'2027 배당표'!V96</x:f>
        <x:v>9</x:v>
      </x:c>
      <x:c r="N44" s="191"/>
      <x:c r="O44" s="188"/>
      <x:c r="P44" s="188"/>
      <x:c r="Q44" s="188"/>
      <x:c r="R44" s="184"/>
    </x:row>
    <x:row r="45" ht="17" customHeight="1">
      <x:c r="A45" s="176"/>
      <x:c r="B45" s="300" t="str">
        <x:v>지구과학</x:v>
      </x:c>
      <x:c r="C45" s="295" t="str">
        <x:f>'2027 배당표'!C99</x:f>
        <x:v>자체</x:v>
      </x:c>
      <x:c r="D45" s="295" t="str">
        <x:f>'2027 배당표'!D99</x:f>
        <x:v>지구시스템과학</x:v>
      </x:c>
      <x:c r="E45" s="203"/>
      <x:c r="F45" s="204"/>
      <x:c r="G45" s="296"/>
      <x:c r="H45" s="203"/>
      <x:c r="I45" s="204"/>
      <x:c r="J45" s="296"/>
      <x:c r="K45" s="203" t="n">
        <x:f>'2027 배당표'!T99</x:f>
        <x:v>3</x:v>
      </x:c>
      <x:c r="L45" s="204" t="n">
        <x:f>'2027 배당표'!U99</x:f>
        <x:v>2</x:v>
      </x:c>
      <x:c r="M45" s="296" t="n">
        <x:f>'2027 배당표'!V99</x:f>
        <x:v>6</x:v>
      </x:c>
      <x:c r="N45" s="297" t="n">
        <x:f>'2027 배당표'!W97</x:f>
        <x:v>3</x:v>
      </x:c>
      <x:c r="O45" s="298" t="n">
        <x:f>'2027 배당표'!AB97</x:f>
        <x:v>9</x:v>
      </x:c>
      <x:c r="P45" s="298" t="n">
        <x:f>'2027 배당표'!AC97</x:f>
        <x:v>44</x:v>
      </x:c>
      <x:c r="Q45" s="298" t="n">
        <x:f>'2027 배당표'!AD97</x:f>
        <x:v>53</x:v>
      </x:c>
      <x:c r="R45" s="299" t="n">
        <x:f>'2027 배당표'!AE97</x:f>
        <x:v>17.666666666666668</x:v>
      </x:c>
    </x:row>
    <x:row r="46" ht="17" customHeight="1">
      <x:c r="A46" s="176"/>
      <x:c r="B46" s="283"/>
      <x:c r="C46" s="283" t="str">
        <x:f>'2027 배당표'!C100</x:f>
        <x:v>자체</x:v>
      </x:c>
      <x:c r="D46" s="283" t="str">
        <x:f>'2027 배당표'!D100</x:f>
        <x:v>행성우주과학</x:v>
      </x:c>
      <x:c r="E46" s="190"/>
      <x:c r="F46" s="187"/>
      <x:c r="G46" s="284"/>
      <x:c r="H46" s="190" t="n">
        <x:f>'2027 배당표'!N100</x:f>
        <x:v>3</x:v>
      </x:c>
      <x:c r="I46" s="187" t="n">
        <x:f>'2027 배당표'!O100</x:f>
        <x:v>1</x:v>
      </x:c>
      <x:c r="J46" s="284" t="n">
        <x:f>'2027 배당표'!P100</x:f>
        <x:v>3</x:v>
      </x:c>
      <x:c r="K46" s="190"/>
      <x:c r="L46" s="187"/>
      <x:c r="M46" s="284"/>
      <x:c r="N46" s="191"/>
      <x:c r="O46" s="188"/>
      <x:c r="P46" s="188"/>
      <x:c r="Q46" s="188"/>
      <x:c r="R46" s="184"/>
    </x:row>
    <x:row r="47" ht="17" customHeight="1">
      <x:c r="A47" s="176"/>
      <x:c r="B47" s="283"/>
      <x:c r="C47" s="283" t="str">
        <x:f>'2027 배당표'!C104</x:f>
        <x:v>실험</x:v>
      </x:c>
      <x:c r="D47" s="283" t="str">
        <x:f>'2027 배당표'!D104</x:f>
        <x:v>과학탐구실험2</x:v>
      </x:c>
      <x:c r="E47" s="190" t="n">
        <x:f>'2027 배당표'!H104</x:f>
        <x:v>1</x:v>
      </x:c>
      <x:c r="F47" s="187" t="n">
        <x:f>'2027 배당표'!I104</x:f>
        <x:v>5</x:v>
      </x:c>
      <x:c r="G47" s="284" t="n">
        <x:f>'2027 배당표'!J104</x:f>
        <x:v>5</x:v>
      </x:c>
      <x:c r="H47" s="190"/>
      <x:c r="I47" s="187"/>
      <x:c r="J47" s="284"/>
      <x:c r="K47" s="190"/>
      <x:c r="L47" s="187"/>
      <x:c r="M47" s="284"/>
      <x:c r="N47" s="191"/>
      <x:c r="O47" s="188"/>
      <x:c r="P47" s="188"/>
      <x:c r="Q47" s="188"/>
      <x:c r="R47" s="184"/>
    </x:row>
    <x:row r="48" ht="17" customHeight="1">
      <x:c r="A48" s="176"/>
      <x:c r="B48" s="283"/>
      <x:c r="C48" s="283" t="str">
        <x:f>'2027 배당표'!C105</x:f>
        <x:v>융합</x:v>
      </x:c>
      <x:c r="D48" s="283" t="str">
        <x:f>'2027 배당표'!D105</x:f>
        <x:v>과학의 역사와 문화</x:v>
      </x:c>
      <x:c r="E48" s="190"/>
      <x:c r="F48" s="187"/>
      <x:c r="G48" s="284"/>
      <x:c r="H48" s="190"/>
      <x:c r="I48" s="187"/>
      <x:c r="J48" s="284"/>
      <x:c r="K48" s="190" t="n">
        <x:f>'2027 배당표'!T105</x:f>
        <x:v>3</x:v>
      </x:c>
      <x:c r="L48" s="187" t="n">
        <x:f>'2027 배당표'!U105</x:f>
        <x:v>2</x:v>
      </x:c>
      <x:c r="M48" s="284" t="n">
        <x:f>'2027 배당표'!V105</x:f>
        <x:v>6</x:v>
      </x:c>
      <x:c r="N48" s="191"/>
      <x:c r="O48" s="188"/>
      <x:c r="P48" s="188"/>
      <x:c r="Q48" s="188"/>
      <x:c r="R48" s="184"/>
    </x:row>
    <x:row r="49" ht="17" customHeight="1">
      <x:c r="A49" s="176"/>
      <x:c r="B49" s="283"/>
      <x:c r="C49" s="283" t="str">
        <x:f>'2027 배당표'!C106</x:f>
        <x:v>융합</x:v>
      </x:c>
      <x:c r="D49" s="283" t="str">
        <x:f>'2027 배당표'!D106</x:f>
        <x:v>기후변화와 환경생태</x:v>
      </x:c>
      <x:c r="E49" s="190"/>
      <x:c r="F49" s="187"/>
      <x:c r="G49" s="284"/>
      <x:c r="H49" s="190"/>
      <x:c r="I49" s="187"/>
      <x:c r="J49" s="284"/>
      <x:c r="K49" s="190" t="n">
        <x:f>'2027 배당표'!T106</x:f>
        <x:v>3</x:v>
      </x:c>
      <x:c r="L49" s="187" t="n">
        <x:f>'2027 배당표'!U106</x:f>
        <x:v>9</x:v>
      </x:c>
      <x:c r="M49" s="284" t="n">
        <x:f>'2027 배당표'!V106</x:f>
        <x:v>27</x:v>
      </x:c>
      <x:c r="N49" s="191"/>
      <x:c r="O49" s="188"/>
      <x:c r="P49" s="188"/>
      <x:c r="Q49" s="188"/>
      <x:c r="R49" s="184"/>
    </x:row>
    <x:row r="50" ht="17" customHeight="1">
      <x:c r="A50" s="176"/>
      <x:c r="B50" s="283"/>
      <x:c r="C50" s="283" t="str">
        <x:f>'2027 배당표'!C107</x:f>
        <x:v>융합</x:v>
      </x:c>
      <x:c r="D50" s="283" t="str">
        <x:f>'2027 배당표'!D107</x:f>
        <x:v>융합과학 탐구</x:v>
      </x:c>
      <x:c r="E50" s="190"/>
      <x:c r="F50" s="187"/>
      <x:c r="G50" s="284"/>
      <x:c r="H50" s="190"/>
      <x:c r="I50" s="187"/>
      <x:c r="J50" s="284"/>
      <x:c r="K50" s="190" t="n">
        <x:f>'2027 배당표'!T107</x:f>
        <x:v>3</x:v>
      </x:c>
      <x:c r="L50" s="187" t="n">
        <x:f>'2027 배당표'!U107</x:f>
        <x:v>2</x:v>
      </x:c>
      <x:c r="M50" s="284" t="n">
        <x:f>'2027 배당표'!V107</x:f>
        <x:v>6</x:v>
      </x:c>
      <x:c r="N50" s="191"/>
      <x:c r="O50" s="188"/>
      <x:c r="P50" s="188"/>
      <x:c r="Q50" s="188"/>
      <x:c r="R50" s="184"/>
    </x:row>
    <x:row r="51" ht="18" customHeight="1">
      <x:c r="A51" s="176"/>
      <x:c r="B51" s="305" t="str">
        <x:v>과학 전체</x:v>
      </x:c>
      <x:c r="C51" s="304"/>
      <x:c r="D51" s="304"/>
      <x:c r="E51" s="304"/>
      <x:c r="F51" s="304"/>
      <x:c r="G51" s="304" t="n">
        <x:f>SUM(G30:G50)</x:f>
        <x:v>60</x:v>
      </x:c>
      <x:c r="H51" s="304"/>
      <x:c r="I51" s="304"/>
      <x:c r="J51" s="304" t="n">
        <x:f>SUM(J30:J50)</x:f>
        <x:v>51</x:v>
      </x:c>
      <x:c r="K51" s="304"/>
      <x:c r="L51" s="304"/>
      <x:c r="M51" s="304" t="n">
        <x:f>SUM(M30:M50)</x:f>
        <x:v>84</x:v>
      </x:c>
      <x:c r="N51" s="304" t="n">
        <x:f>'2027 배당표'!W109</x:f>
        <x:v>11</x:v>
      </x:c>
      <x:c r="O51" s="304" t="n">
        <x:f>'2027 배당표'!AB109</x:f>
        <x:v>57</x:v>
      </x:c>
      <x:c r="P51" s="304" t="n">
        <x:f>'2027 배당표'!AC109</x:f>
        <x:v>138</x:v>
      </x:c>
      <x:c r="Q51" s="304" t="n">
        <x:f>'2027 배당표'!AD109</x:f>
        <x:v>195</x:v>
      </x:c>
      <x:c r="R51" s="306" t="n">
        <x:f>'2027 배당표'!AE109</x:f>
        <x:v>17.727272727272727</x:v>
      </x:c>
    </x:row>
    <x:row r="52" ht="12" customHeight="1">
      <x:c r="A52" s="176"/>
      <x:c r="B52" s="216" t="str">
        <x:v>2026.9.28. 최종 선택자료 반영. 교사 수는 2026학년도 정원 참고값입니다.</x:v>
      </x:c>
      <x:c r="C52" s="216"/>
      <x:c r="D52" s="216"/>
      <x:c r="E52" s="216"/>
      <x:c r="F52" s="216"/>
      <x:c r="G52" s="216"/>
      <x:c r="H52" s="216"/>
      <x:c r="I52" s="216"/>
      <x:c r="J52" s="216"/>
      <x:c r="K52" s="216"/>
      <x:c r="L52" s="216"/>
      <x:c r="M52" s="216"/>
      <x:c r="N52" s="216"/>
      <x:c r="O52" s="216"/>
      <x:c r="P52" s="216"/>
      <x:c r="Q52" s="216"/>
      <x:c r="R52" s="216"/>
    </x:row>
    <x:row r="53" ht="12" customHeight="1">
      <x:c r="A53" s="176"/>
      <x:c r="B53" s="216" t="str">
        <x:f>IF(SUM(G51,J51,M51)=Q51,"교육과정상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53" s="216"/>
      <x:c r="D53" s="216"/>
      <x:c r="E53" s="216"/>
      <x:c r="F53" s="216"/>
      <x:c r="G53" s="216"/>
      <x:c r="H53" s="216"/>
      <x:c r="I53" s="216"/>
      <x:c r="J53" s="216"/>
      <x:c r="K53" s="216"/>
      <x:c r="L53" s="216"/>
      <x:c r="M53" s="216"/>
      <x:c r="N53" s="216"/>
      <x:c r="O53" s="216"/>
      <x:c r="P53" s="216"/>
      <x:c r="Q53" s="216"/>
      <x:c r="R53" s="216"/>
    </x:row>
    <x:row r="54" ht="17" customHeight="1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</x:row>
    <x:row r="55" ht="17" customHeight="1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</x:row>
    <x:row r="56" ht="17" customHeight="1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</x:row>
    <x:row r="57" ht="17" customHeight="1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</x:row>
    <x:row r="58" ht="17" customHeight="1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</x:row>
    <x:row r="59" ht="17" customHeight="1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</x:row>
    <x:row r="60" ht="17" customHeight="1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</x:row>
    <x:row r="61" ht="17" customHeight="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</x:row>
    <x:row r="62" ht="17" customHeight="1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</x:row>
    <x:row r="63" ht="17" customHeight="1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</x:row>
    <x:row r="64" ht="17" customHeight="1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</x:row>
    <x:row r="65" ht="17" customHeight="1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</x:row>
    <x:row r="66" ht="17" customHeight="1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</x:row>
    <x:row r="67" ht="17" customHeight="1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</x:row>
    <x:row r="68" ht="17" customHeight="1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</x:row>
    <x:row r="69" ht="17" customHeight="1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</x:row>
    <x:row r="70" ht="17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</x:row>
    <x:row r="71" ht="17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</x:row>
    <x:row r="72" ht="17" customHeight="1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</x:row>
    <x:row r="73" ht="17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</x:row>
    <x:row r="74" ht="17" customHeight="1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</x:row>
    <x:row r="75" ht="17" customHeight="1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</x:row>
    <x:row r="76" ht="17" customHeight="1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</x:row>
    <x:row r="77" ht="17" customHeight="1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</x:row>
    <x:row r="78" ht="17" customHeight="1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</x:row>
    <x:row r="79" ht="17" customHeight="1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21:D21"/>
    <x:mergeCell ref="B22:R22"/>
    <x:mergeCell ref="B23:R23"/>
    <x:mergeCell ref="B26:R26"/>
    <x:mergeCell ref="B27:R27"/>
    <x:mergeCell ref="B28:B29"/>
    <x:mergeCell ref="C28:C29"/>
    <x:mergeCell ref="D28:D29"/>
    <x:mergeCell ref="N28:N29"/>
    <x:mergeCell ref="O28:O29"/>
    <x:mergeCell ref="P28:P29"/>
    <x:mergeCell ref="Q28:Q29"/>
    <x:mergeCell ref="R28:R29"/>
    <x:mergeCell ref="E28:G28"/>
    <x:mergeCell ref="H28:J28"/>
    <x:mergeCell ref="K28:M28"/>
    <x:mergeCell ref="B51:D51"/>
    <x:mergeCell ref="B52:R52"/>
    <x:mergeCell ref="B53:R53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3.xml><?xml version="1.0" encoding="utf-8"?>
<x:worksheet xmlns:x="http://schemas.openxmlformats.org/spreadsheetml/2006/main">
  <x:sheetPr>
    <x:tabColor rgb="FF305D82"/>
    <x:pageSetUpPr fitToPage="0" autoPageBreaks="0"/>
  </x:sheetPr>
  <x:sheetViews>
    <x:sheetView showGridLines="0" workbookViewId="0" tabSelected="0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2028학년도 사회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기존안·변경안 공통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(12학급)</x:v>
      </x:c>
      <x:c r="I4" s="282"/>
      <x:c r="J4" s="282"/>
      <x:c r="K4" s="282" t="str">
        <x:v>3학년 (13학급)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역사</x:v>
      </x:c>
      <x:c r="C6" s="295" t="str">
        <x:f>'2028 배당표'!C14</x:f>
        <x:v>자체</x:v>
      </x:c>
      <x:c r="D6" s="295" t="str">
        <x:f>'2028 배당표'!D14</x:f>
        <x:v>한국사1</x:v>
      </x:c>
      <x:c r="E6" s="203" t="n">
        <x:f>'2028 배당표'!E14</x:f>
        <x:v>3</x:v>
      </x:c>
      <x:c r="F6" s="204" t="n">
        <x:f>'2028 배당표'!F14</x:f>
        <x:v>12</x:v>
      </x:c>
      <x:c r="G6" s="296" t="n">
        <x:f>'2028 배당표'!G14</x:f>
        <x:v>36</x:v>
      </x:c>
      <x:c r="H6" s="203"/>
      <x:c r="I6" s="204"/>
      <x:c r="J6" s="296"/>
      <x:c r="K6" s="203"/>
      <x:c r="L6" s="204"/>
      <x:c r="M6" s="296"/>
      <x:c r="N6" s="297" t="n">
        <x:f>'2028 배당표'!W13</x:f>
        <x:v>3</x:v>
      </x:c>
      <x:c r="O6" s="298" t="n">
        <x:f>'2028 배당표'!X13</x:f>
        <x:v>45</x:v>
      </x:c>
      <x:c r="P6" s="298" t="n">
        <x:f>'2028 배당표'!Y13</x:f>
        <x:v>12</x:v>
      </x:c>
      <x:c r="Q6" s="298" t="n">
        <x:f>'2028 배당표'!Z13</x:f>
        <x:v>57</x:v>
      </x:c>
      <x:c r="R6" s="299" t="n">
        <x:f>'2028 배당표'!AA13</x:f>
        <x:v>19</x:v>
      </x:c>
    </x:row>
    <x:row r="7" ht="17" customHeight="1">
      <x:c r="A7" s="176"/>
      <x:c r="B7" s="283"/>
      <x:c r="C7" s="283" t="str">
        <x:f>'2028 배당표'!C15</x:f>
        <x:v>자체</x:v>
      </x:c>
      <x:c r="D7" s="283" t="str">
        <x:f>'2028 배당표'!D15</x:f>
        <x:v>세계사</x:v>
      </x:c>
      <x:c r="E7" s="190"/>
      <x:c r="F7" s="187"/>
      <x:c r="G7" s="284"/>
      <x:c r="H7" s="190" t="n">
        <x:f>'2028 배당표'!K15</x:f>
        <x:v>3</x:v>
      </x:c>
      <x:c r="I7" s="187" t="n">
        <x:f>'2028 배당표'!L15</x:f>
        <x:v>3</x:v>
      </x:c>
      <x:c r="J7" s="284" t="n">
        <x:f>'2028 배당표'!M15</x:f>
        <x:v>9</x:v>
      </x:c>
      <x:c r="K7" s="190"/>
      <x:c r="L7" s="187"/>
      <x:c r="M7" s="284"/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'2028 배당표'!C21</x:f>
        <x:v>융합</x:v>
      </x:c>
      <x:c r="D8" s="283" t="str">
        <x:f>'2028 배당표'!D21</x:f>
        <x:v>역사로 탐구하는 현대 세계</x:v>
      </x:c>
      <x:c r="E8" s="190"/>
      <x:c r="F8" s="187"/>
      <x:c r="G8" s="284"/>
      <x:c r="H8" s="190"/>
      <x:c r="I8" s="187"/>
      <x:c r="J8" s="284"/>
      <x:c r="K8" s="190" t="n">
        <x:f>'2028 배당표'!Q21</x:f>
        <x:v>3</x:v>
      </x:c>
      <x:c r="L8" s="187" t="n">
        <x:f>'2028 배당표'!R21</x:f>
        <x:v>4</x:v>
      </x:c>
      <x:c r="M8" s="284" t="n">
        <x:f>'2028 배당표'!S21</x:f>
        <x:v>12</x:v>
      </x:c>
      <x:c r="N8" s="191"/>
      <x:c r="O8" s="188"/>
      <x:c r="P8" s="188"/>
      <x:c r="Q8" s="188"/>
      <x:c r="R8" s="184"/>
    </x:row>
    <x:row r="9" ht="17" customHeight="1">
      <x:c r="A9" s="176"/>
      <x:c r="B9" s="300" t="str">
        <x:v>일반사회</x:v>
      </x:c>
      <x:c r="C9" s="295" t="str">
        <x:f>'2028 배당표'!C27</x:f>
        <x:v>자체</x:v>
      </x:c>
      <x:c r="D9" s="295" t="str">
        <x:f>'2028 배당표'!D27</x:f>
        <x:v>사회와 문화</x:v>
      </x:c>
      <x:c r="E9" s="203"/>
      <x:c r="F9" s="204"/>
      <x:c r="G9" s="296"/>
      <x:c r="H9" s="203" t="n">
        <x:f>'2028 배당표'!K27</x:f>
        <x:v>3</x:v>
      </x:c>
      <x:c r="I9" s="204" t="n">
        <x:f>'2028 배당표'!L27</x:f>
        <x:v>6</x:v>
      </x:c>
      <x:c r="J9" s="296" t="n">
        <x:f>'2028 배당표'!M27</x:f>
        <x:v>18</x:v>
      </x:c>
      <x:c r="K9" s="203"/>
      <x:c r="L9" s="204"/>
      <x:c r="M9" s="296"/>
      <x:c r="N9" s="297" t="n">
        <x:f>'2028 배당표'!W26</x:f>
        <x:v>4</x:v>
      </x:c>
      <x:c r="O9" s="298" t="n">
        <x:f>'2028 배당표'!X26</x:f>
        <x:v>45</x:v>
      </x:c>
      <x:c r="P9" s="298" t="n">
        <x:f>'2028 배당표'!Y26</x:f>
        <x:v>26</x:v>
      </x:c>
      <x:c r="Q9" s="298" t="n">
        <x:f>'2028 배당표'!Z26</x:f>
        <x:v>71</x:v>
      </x:c>
      <x:c r="R9" s="299" t="n">
        <x:f>'2028 배당표'!AA26</x:f>
        <x:v>17.75</x:v>
      </x:c>
    </x:row>
    <x:row r="10" ht="17" customHeight="1">
      <x:c r="A10" s="176"/>
      <x:c r="B10" s="283"/>
      <x:c r="C10" s="283" t="str">
        <x:f>'2028 배당표'!C28</x:f>
        <x:v>자체</x:v>
      </x:c>
      <x:c r="D10" s="283" t="str">
        <x:f>'2028 배당표'!D28</x:f>
        <x:v>경제</x:v>
      </x:c>
      <x:c r="E10" s="190"/>
      <x:c r="F10" s="187"/>
      <x:c r="G10" s="284"/>
      <x:c r="H10" s="190"/>
      <x:c r="I10" s="187"/>
      <x:c r="J10" s="284"/>
      <x:c r="K10" s="190" t="n">
        <x:f>'2028 배당표'!Q28</x:f>
        <x:v>3</x:v>
      </x:c>
      <x:c r="L10" s="187" t="n">
        <x:f>'2028 배당표'!R28</x:f>
        <x:v>4</x:v>
      </x:c>
      <x:c r="M10" s="284" t="n">
        <x:f>'2028 배당표'!S28</x:f>
        <x:v>12</x:v>
      </x:c>
      <x:c r="N10" s="191"/>
      <x:c r="O10" s="188"/>
      <x:c r="P10" s="188"/>
      <x:c r="Q10" s="188"/>
      <x:c r="R10" s="184"/>
    </x:row>
    <x:row r="11" ht="17" customHeight="1">
      <x:c r="A11" s="176"/>
      <x:c r="B11" s="283"/>
      <x:c r="C11" s="283" t="str">
        <x:f>'2028 배당표'!C29</x:f>
        <x:v>자체</x:v>
      </x:c>
      <x:c r="D11" s="283" t="str">
        <x:f>'2028 배당표'!D29</x:f>
        <x:v>국제 관계의 이해</x:v>
      </x:c>
      <x:c r="E11" s="190"/>
      <x:c r="F11" s="187"/>
      <x:c r="G11" s="284"/>
      <x:c r="H11" s="190"/>
      <x:c r="I11" s="187"/>
      <x:c r="J11" s="284"/>
      <x:c r="K11" s="190" t="n">
        <x:f>'2028 배당표'!Q29</x:f>
        <x:v>3</x:v>
      </x:c>
      <x:c r="L11" s="187" t="n">
        <x:f>'2028 배당표'!R29</x:f>
        <x:v>5</x:v>
      </x:c>
      <x:c r="M11" s="284" t="n">
        <x:f>'2028 배당표'!S29</x:f>
        <x:v>15</x:v>
      </x:c>
      <x:c r="N11" s="191"/>
      <x:c r="O11" s="188"/>
      <x:c r="P11" s="188"/>
      <x:c r="Q11" s="188"/>
      <x:c r="R11" s="184"/>
    </x:row>
    <x:row r="12" ht="17" customHeight="1">
      <x:c r="A12" s="176"/>
      <x:c r="B12" s="283"/>
      <x:c r="C12" s="283" t="str">
        <x:f>'2028 배당표'!C32</x:f>
        <x:v>통합</x:v>
      </x:c>
      <x:c r="D12" s="283" t="str">
        <x:f>'2028 배당표'!D32</x:f>
        <x:v>통합사회1</x:v>
      </x:c>
      <x:c r="E12" s="190" t="n">
        <x:f>'2028 배당표'!E32</x:f>
        <x:v>4</x:v>
      </x:c>
      <x:c r="F12" s="187" t="n">
        <x:f>'2028 배당표'!F32</x:f>
        <x:v>5</x:v>
      </x:c>
      <x:c r="G12" s="284" t="n">
        <x:f>'2028 배당표'!G32</x:f>
        <x:v>20</x:v>
      </x:c>
      <x:c r="H12" s="190"/>
      <x:c r="I12" s="187"/>
      <x:c r="J12" s="284"/>
      <x:c r="K12" s="190"/>
      <x:c r="L12" s="187"/>
      <x:c r="M12" s="284"/>
      <x:c r="N12" s="191"/>
      <x:c r="O12" s="188"/>
      <x:c r="P12" s="188"/>
      <x:c r="Q12" s="188"/>
      <x:c r="R12" s="184"/>
    </x:row>
    <x:row r="13" ht="17" customHeight="1">
      <x:c r="A13" s="176"/>
      <x:c r="B13" s="283"/>
      <x:c r="C13" s="283" t="str">
        <x:f>'2028 배당표'!C34</x:f>
        <x:v>융합</x:v>
      </x:c>
      <x:c r="D13" s="283" t="str">
        <x:f>'2028 배당표'!D34</x:f>
        <x:v>사회문제 탐구</x:v>
      </x:c>
      <x:c r="E13" s="190"/>
      <x:c r="F13" s="187"/>
      <x:c r="G13" s="284"/>
      <x:c r="H13" s="190"/>
      <x:c r="I13" s="187"/>
      <x:c r="J13" s="284"/>
      <x:c r="K13" s="190" t="n">
        <x:f>'2028 배당표'!Q34</x:f>
        <x:v>3</x:v>
      </x:c>
      <x:c r="L13" s="187" t="n">
        <x:f>'2028 배당표'!R34</x:f>
        <x:v>2</x:v>
      </x:c>
      <x:c r="M13" s="284" t="n">
        <x:f>'2028 배당표'!S34</x:f>
        <x:v>6</x:v>
      </x:c>
      <x:c r="N13" s="191"/>
      <x:c r="O13" s="188"/>
      <x:c r="P13" s="188"/>
      <x:c r="Q13" s="188"/>
      <x:c r="R13" s="184"/>
    </x:row>
    <x:row r="14" ht="17" customHeight="1">
      <x:c r="A14" s="176"/>
      <x:c r="B14" s="300" t="str">
        <x:v>지리</x:v>
      </x:c>
      <x:c r="C14" s="295" t="str">
        <x:f>'2028 배당표'!C41</x:f>
        <x:v>자체</x:v>
      </x:c>
      <x:c r="D14" s="295" t="str">
        <x:f>'2028 배당표'!D41</x:f>
        <x:v>세계시민과 지리</x:v>
      </x:c>
      <x:c r="E14" s="203"/>
      <x:c r="F14" s="204"/>
      <x:c r="G14" s="296"/>
      <x:c r="H14" s="203" t="n">
        <x:f>'2028 배당표'!K41</x:f>
        <x:v>3</x:v>
      </x:c>
      <x:c r="I14" s="204" t="n">
        <x:f>'2028 배당표'!L41</x:f>
        <x:v>3</x:v>
      </x:c>
      <x:c r="J14" s="296" t="n">
        <x:f>'2028 배당표'!M41</x:f>
        <x:v>9</x:v>
      </x:c>
      <x:c r="K14" s="203"/>
      <x:c r="L14" s="204"/>
      <x:c r="M14" s="296"/>
      <x:c r="N14" s="297" t="n">
        <x:f>'2028 배당표'!W40</x:f>
        <x:v>2</x:v>
      </x:c>
      <x:c r="O14" s="298" t="n">
        <x:f>'2028 배당표'!X40</x:f>
        <x:v>27</x:v>
      </x:c>
      <x:c r="P14" s="298" t="n">
        <x:f>'2028 배당표'!Y40</x:f>
        <x:v>10</x:v>
      </x:c>
      <x:c r="Q14" s="298" t="n">
        <x:f>'2028 배당표'!Z40</x:f>
        <x:v>37</x:v>
      </x:c>
      <x:c r="R14" s="299" t="n">
        <x:f>'2028 배당표'!AA40</x:f>
        <x:v>18.5</x:v>
      </x:c>
    </x:row>
    <x:row r="15" ht="17" customHeight="1">
      <x:c r="A15" s="176"/>
      <x:c r="B15" s="283"/>
      <x:c r="C15" s="283" t="str">
        <x:f>'2028 배당표'!C42</x:f>
        <x:v>자체</x:v>
      </x:c>
      <x:c r="D15" s="283" t="str">
        <x:f>'2028 배당표'!D42</x:f>
        <x:v>도시의 미래 탐구</x:v>
      </x:c>
      <x:c r="E15" s="190"/>
      <x:c r="F15" s="187"/>
      <x:c r="G15" s="284"/>
      <x:c r="H15" s="190"/>
      <x:c r="I15" s="187"/>
      <x:c r="J15" s="284"/>
      <x:c r="K15" s="190" t="n">
        <x:f>'2028 배당표'!Q42</x:f>
        <x:v>3</x:v>
      </x:c>
      <x:c r="L15" s="187" t="n">
        <x:f>'2028 배당표'!R42</x:f>
        <x:v>6</x:v>
      </x:c>
      <x:c r="M15" s="284" t="n">
        <x:f>'2028 배당표'!S42</x:f>
        <x:v>18</x:v>
      </x:c>
      <x:c r="N15" s="191"/>
      <x:c r="O15" s="188"/>
      <x:c r="P15" s="188"/>
      <x:c r="Q15" s="188"/>
      <x:c r="R15" s="184"/>
    </x:row>
    <x:row r="16" ht="17" customHeight="1">
      <x:c r="A16" s="176"/>
      <x:c r="B16" s="283"/>
      <x:c r="C16" s="283" t="str">
        <x:f>'2028 배당표'!C44</x:f>
        <x:v>통합</x:v>
      </x:c>
      <x:c r="D16" s="283" t="str">
        <x:f>'2028 배당표'!D44</x:f>
        <x:v>통합사회1</x:v>
      </x:c>
      <x:c r="E16" s="190" t="n">
        <x:f>'2028 배당표'!E44</x:f>
        <x:v>4</x:v>
      </x:c>
      <x:c r="F16" s="187" t="n">
        <x:f>'2028 배당표'!F44</x:f>
        <x:v>1</x:v>
      </x:c>
      <x:c r="G16" s="284" t="n">
        <x:f>'2028 배당표'!G44</x:f>
        <x:v>4</x:v>
      </x:c>
      <x:c r="H16" s="190"/>
      <x:c r="I16" s="187"/>
      <x:c r="J16" s="284"/>
      <x:c r="K16" s="190"/>
      <x:c r="L16" s="187"/>
      <x:c r="M16" s="284"/>
      <x:c r="N16" s="191"/>
      <x:c r="O16" s="188"/>
      <x:c r="P16" s="188"/>
      <x:c r="Q16" s="188"/>
      <x:c r="R16" s="184"/>
    </x:row>
    <x:row r="17" ht="17" customHeight="1">
      <x:c r="A17" s="176"/>
      <x:c r="B17" s="283"/>
      <x:c r="C17" s="283" t="str">
        <x:f>'2028 배당표'!C45</x:f>
        <x:v>융합</x:v>
      </x:c>
      <x:c r="D17" s="283" t="str">
        <x:f>'2028 배당표'!D45</x:f>
        <x:v>기후변화와 지속가능한 세계</x:v>
      </x:c>
      <x:c r="E17" s="190"/>
      <x:c r="F17" s="187"/>
      <x:c r="G17" s="284"/>
      <x:c r="H17" s="190"/>
      <x:c r="I17" s="187"/>
      <x:c r="J17" s="284"/>
      <x:c r="K17" s="190" t="n">
        <x:f>'2028 배당표'!Q45</x:f>
        <x:v>3</x:v>
      </x:c>
      <x:c r="L17" s="187" t="n">
        <x:f>'2028 배당표'!R45</x:f>
        <x:v>2</x:v>
      </x:c>
      <x:c r="M17" s="284" t="n">
        <x:f>'2028 배당표'!S45</x:f>
        <x:v>6</x:v>
      </x:c>
      <x:c r="N17" s="191"/>
      <x:c r="O17" s="188"/>
      <x:c r="P17" s="188"/>
      <x:c r="Q17" s="188"/>
      <x:c r="R17" s="184"/>
    </x:row>
    <x:row r="18" ht="17" customHeight="1">
      <x:c r="A18" s="176"/>
      <x:c r="B18" s="300" t="str">
        <x:v>윤리</x:v>
      </x:c>
      <x:c r="C18" s="295" t="str">
        <x:f>'2028 배당표'!C53</x:f>
        <x:v>자체</x:v>
      </x:c>
      <x:c r="D18" s="295" t="str">
        <x:f>'2028 배당표'!D53</x:f>
        <x:v>현대사회와 윤리</x:v>
      </x:c>
      <x:c r="E18" s="203"/>
      <x:c r="F18" s="204"/>
      <x:c r="G18" s="296"/>
      <x:c r="H18" s="203" t="n">
        <x:f>'2028 배당표'!K53</x:f>
        <x:v>3</x:v>
      </x:c>
      <x:c r="I18" s="204" t="n">
        <x:f>'2028 배당표'!L53</x:f>
        <x:v>6</x:v>
      </x:c>
      <x:c r="J18" s="296" t="n">
        <x:f>'2028 배당표'!M53</x:f>
        <x:v>18</x:v>
      </x:c>
      <x:c r="K18" s="203"/>
      <x:c r="L18" s="204"/>
      <x:c r="M18" s="296"/>
      <x:c r="N18" s="297" t="n">
        <x:f>'2028 배당표'!W52</x:f>
        <x:v>3</x:v>
      </x:c>
      <x:c r="O18" s="298" t="n">
        <x:f>'2028 배당표'!X52</x:f>
        <x:v>27</x:v>
      </x:c>
      <x:c r="P18" s="298" t="n">
        <x:f>'2028 배당표'!Y52</x:f>
        <x:v>24</x:v>
      </x:c>
      <x:c r="Q18" s="298" t="n">
        <x:f>'2028 배당표'!Z52</x:f>
        <x:v>51</x:v>
      </x:c>
      <x:c r="R18" s="299" t="n">
        <x:f>'2028 배당표'!AA52</x:f>
        <x:v>17</x:v>
      </x:c>
    </x:row>
    <x:row r="19" ht="17" customHeight="1">
      <x:c r="A19" s="176"/>
      <x:c r="B19" s="283"/>
      <x:c r="C19" s="283" t="str">
        <x:f>'2028 배당표'!C54</x:f>
        <x:v>자체</x:v>
      </x:c>
      <x:c r="D19" s="283" t="str">
        <x:f>'2028 배당표'!D54</x:f>
        <x:v>인문학과 윤리</x:v>
      </x:c>
      <x:c r="E19" s="190"/>
      <x:c r="F19" s="187"/>
      <x:c r="G19" s="284"/>
      <x:c r="H19" s="190"/>
      <x:c r="I19" s="187"/>
      <x:c r="J19" s="284"/>
      <x:c r="K19" s="190" t="n">
        <x:f>'2028 배당표'!Q54</x:f>
        <x:v>3</x:v>
      </x:c>
      <x:c r="L19" s="187" t="n">
        <x:f>'2028 배당표'!R54</x:f>
        <x:v>3</x:v>
      </x:c>
      <x:c r="M19" s="284" t="n">
        <x:f>'2028 배당표'!S54</x:f>
        <x:v>9</x:v>
      </x:c>
      <x:c r="N19" s="191"/>
      <x:c r="O19" s="188"/>
      <x:c r="P19" s="188"/>
      <x:c r="Q19" s="188"/>
      <x:c r="R19" s="184"/>
    </x:row>
    <x:row r="20" ht="17" customHeight="1">
      <x:c r="A20" s="176"/>
      <x:c r="B20" s="283"/>
      <x:c r="C20" s="283" t="str">
        <x:f>'2028 배당표'!C56</x:f>
        <x:v>통합</x:v>
      </x:c>
      <x:c r="D20" s="283" t="str">
        <x:f>'2028 배당표'!D56</x:f>
        <x:v>통합사회1</x:v>
      </x:c>
      <x:c r="E20" s="190" t="n">
        <x:f>'2028 배당표'!E56</x:f>
        <x:v>4</x:v>
      </x:c>
      <x:c r="F20" s="187" t="n">
        <x:f>'2028 배당표'!F56</x:f>
        <x:v>6</x:v>
      </x:c>
      <x:c r="G20" s="284" t="n">
        <x:f>'2028 배당표'!G56</x:f>
        <x:v>24</x:v>
      </x:c>
      <x:c r="H20" s="190"/>
      <x:c r="I20" s="187"/>
      <x:c r="J20" s="284"/>
      <x:c r="K20" s="190"/>
      <x:c r="L20" s="187"/>
      <x:c r="M20" s="284"/>
      <x:c r="N20" s="191"/>
      <x:c r="O20" s="188"/>
      <x:c r="P20" s="188"/>
      <x:c r="Q20" s="188"/>
      <x:c r="R20" s="184"/>
    </x:row>
    <x:row r="21" ht="18" customHeight="1">
      <x:c r="A21" s="176"/>
      <x:c r="B21" s="305" t="str">
        <x:v>사회 전체</x:v>
      </x:c>
      <x:c r="C21" s="304"/>
      <x:c r="D21" s="304"/>
      <x:c r="E21" s="304"/>
      <x:c r="F21" s="304"/>
      <x:c r="G21" s="304" t="n">
        <x:f>SUM(G6:G20)</x:f>
        <x:v>84</x:v>
      </x:c>
      <x:c r="H21" s="304"/>
      <x:c r="I21" s="304"/>
      <x:c r="J21" s="304" t="n">
        <x:f>SUM(J6:J20)</x:f>
        <x:v>54</x:v>
      </x:c>
      <x:c r="K21" s="304"/>
      <x:c r="L21" s="304"/>
      <x:c r="M21" s="304" t="n">
        <x:f>SUM(M6:M20)</x:f>
        <x:v>78</x:v>
      </x:c>
      <x:c r="N21" s="304" t="n">
        <x:f>'2028 배당표'!W108</x:f>
        <x:v>12</x:v>
      </x:c>
      <x:c r="O21" s="304" t="n">
        <x:f>'2028 배당표'!X108</x:f>
        <x:v>144</x:v>
      </x:c>
      <x:c r="P21" s="304" t="n">
        <x:f>'2028 배당표'!Y108</x:f>
        <x:v>72</x:v>
      </x:c>
      <x:c r="Q21" s="304" t="n">
        <x:f>'2028 배당표'!Z108</x:f>
        <x:v>216</x:v>
      </x:c>
      <x:c r="R21" s="306" t="n">
        <x:f>'2028 배당표'!AA108</x:f>
        <x:v>18</x:v>
      </x:c>
    </x:row>
    <x:row r="22" ht="12" customHeight="1">
      <x:c r="A22" s="176"/>
      <x:c r="B22" s="216" t="str">
        <x:v>경제 57명·택3 선택비율로 보정한 가정안. 2027 입학생부터 12학급, 교사 수는 2026학년도 정원 참고값입니다.</x:v>
      </x:c>
      <x:c r="C22" s="216"/>
      <x:c r="D22" s="216"/>
      <x:c r="E22" s="216"/>
      <x:c r="F22" s="216"/>
      <x:c r="G22" s="216"/>
      <x:c r="H22" s="216"/>
      <x:c r="I22" s="216"/>
      <x:c r="J22" s="216"/>
      <x:c r="K22" s="216"/>
      <x:c r="L22" s="216"/>
      <x:c r="M22" s="216"/>
      <x:c r="N22" s="216"/>
      <x:c r="O22" s="216"/>
      <x:c r="P22" s="216"/>
      <x:c r="Q22" s="216"/>
      <x:c r="R22" s="216"/>
    </x:row>
    <x:row r="23" ht="12" customHeight="1">
      <x:c r="A23" s="176"/>
      <x:c r="B23" s="216" t="str">
        <x:f>IF(SUM(G21,J21,M21)=Q21,"교육과정상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3" s="216"/>
      <x:c r="D23" s="216"/>
      <x:c r="E23" s="216"/>
      <x:c r="F23" s="216"/>
      <x:c r="G23" s="216"/>
      <x:c r="H23" s="216"/>
      <x:c r="I23" s="216"/>
      <x:c r="J23" s="216"/>
      <x:c r="K23" s="216"/>
      <x:c r="L23" s="216"/>
      <x:c r="M23" s="216"/>
      <x:c r="N23" s="216"/>
      <x:c r="O23" s="216"/>
      <x:c r="P23" s="216"/>
      <x:c r="Q23" s="216"/>
      <x:c r="R23" s="216"/>
    </x:row>
    <x:row r="24" ht="17" customHeight="1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</x:row>
    <x:row r="25" ht="17" customHeight="1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</x:row>
    <x:row r="26" ht="24" customHeight="1">
      <x:c r="A26" s="176"/>
      <x:c r="B26" s="177" t="str">
        <x:v>2028학년도 사회 주간수업 배당표</x:v>
      </x:c>
      <x:c r="C26" s="177"/>
      <x:c r="D26" s="177"/>
      <x:c r="E26" s="177"/>
      <x:c r="F26" s="177"/>
      <x:c r="G26" s="177"/>
      <x:c r="H26" s="177"/>
      <x:c r="I26" s="177"/>
      <x:c r="J26" s="177"/>
      <x:c r="K26" s="177"/>
      <x:c r="L26" s="177"/>
      <x:c r="M26" s="177"/>
      <x:c r="N26" s="177"/>
      <x:c r="O26" s="177"/>
      <x:c r="P26" s="177"/>
      <x:c r="Q26" s="177"/>
      <x:c r="R26" s="177"/>
    </x:row>
    <x:row r="27" ht="16" customHeight="1">
      <x:c r="A27" s="176"/>
      <x:c r="B27" s="178" t="str">
        <x:v>2학기  /  기존안·변경안 공통  /  단위: 시간·주, 반, 명</x:v>
      </x:c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</x:row>
    <x:row r="28" ht="22" customHeight="1">
      <x:c r="A28" s="176"/>
      <x:c r="B28" s="282" t="str">
        <x:v>담당
교과</x:v>
      </x:c>
      <x:c r="C28" s="282" t="str">
        <x:v>구분</x:v>
      </x:c>
      <x:c r="D28" s="282" t="str">
        <x:v>과목명</x:v>
      </x:c>
      <x:c r="E28" s="282" t="str">
        <x:v>1학년 (12학급)</x:v>
      </x:c>
      <x:c r="F28" s="282"/>
      <x:c r="G28" s="282"/>
      <x:c r="H28" s="282" t="str">
        <x:v>2학년 (12학급)</x:v>
      </x:c>
      <x:c r="I28" s="282"/>
      <x:c r="J28" s="282"/>
      <x:c r="K28" s="282" t="str">
        <x:v>3학년 (13학급)</x:v>
      </x:c>
      <x:c r="L28" s="282"/>
      <x:c r="M28" s="282"/>
      <x:c r="N28" s="282" t="str">
        <x:v>교사
수</x:v>
      </x:c>
      <x:c r="O28" s="282" t="str">
        <x:v>자체
시수</x:v>
      </x:c>
      <x:c r="P28" s="282" t="str">
        <x:v>배정
시수</x:v>
      </x:c>
      <x:c r="Q28" s="282" t="str">
        <x:v>교과
총시수</x:v>
      </x:c>
      <x:c r="R28" s="282" t="str">
        <x:v>교사 1인
평균</x:v>
      </x:c>
    </x:row>
    <x:row r="29" ht="22" customHeight="1">
      <x:c r="A29" s="176"/>
      <x:c r="B29" s="282"/>
      <x:c r="C29" s="282"/>
      <x:c r="D29" s="282"/>
      <x:c r="E29" s="282" t="str">
        <x:v>반당
시수</x:v>
      </x:c>
      <x:c r="F29" s="282" t="str">
        <x:v>개설
반 수</x:v>
      </x:c>
      <x:c r="G29" s="282" t="str">
        <x:v>교과
시수</x:v>
      </x:c>
      <x:c r="H29" s="282" t="str">
        <x:v>반당
시수</x:v>
      </x:c>
      <x:c r="I29" s="282" t="str">
        <x:v>개설
반 수</x:v>
      </x:c>
      <x:c r="J29" s="282" t="str">
        <x:v>교과
시수</x:v>
      </x:c>
      <x:c r="K29" s="282" t="str">
        <x:v>반당
시수</x:v>
      </x:c>
      <x:c r="L29" s="282" t="str">
        <x:v>개설
반 수</x:v>
      </x:c>
      <x:c r="M29" s="282" t="str">
        <x:v>교과
시수</x:v>
      </x:c>
      <x:c r="N29" s="282"/>
      <x:c r="O29" s="282"/>
      <x:c r="P29" s="282"/>
      <x:c r="Q29" s="282"/>
      <x:c r="R29" s="282"/>
    </x:row>
    <x:row r="30" ht="17" customHeight="1">
      <x:c r="A30" s="176"/>
      <x:c r="B30" s="300" t="str">
        <x:v>역사</x:v>
      </x:c>
      <x:c r="C30" s="295" t="str">
        <x:f>'2028 배당표'!C16</x:f>
        <x:v>자체</x:v>
      </x:c>
      <x:c r="D30" s="295" t="str">
        <x:f>'2028 배당표'!D16</x:f>
        <x:v>한국사2</x:v>
      </x:c>
      <x:c r="E30" s="203" t="n">
        <x:f>'2028 배당표'!H16</x:f>
        <x:v>3</x:v>
      </x:c>
      <x:c r="F30" s="204" t="n">
        <x:f>'2028 배당표'!I16</x:f>
        <x:v>12</x:v>
      </x:c>
      <x:c r="G30" s="296" t="n">
        <x:f>'2028 배당표'!J16</x:f>
        <x:v>36</x:v>
      </x:c>
      <x:c r="H30" s="203"/>
      <x:c r="I30" s="204"/>
      <x:c r="J30" s="296"/>
      <x:c r="K30" s="203"/>
      <x:c r="L30" s="204"/>
      <x:c r="M30" s="296"/>
      <x:c r="N30" s="297" t="n">
        <x:f>'2028 배당표'!W13</x:f>
        <x:v>3</x:v>
      </x:c>
      <x:c r="O30" s="298" t="n">
        <x:f>'2028 배당표'!AB13</x:f>
        <x:v>42</x:v>
      </x:c>
      <x:c r="P30" s="298" t="n">
        <x:f>'2028 배당표'!AC13</x:f>
        <x:v>8</x:v>
      </x:c>
      <x:c r="Q30" s="298" t="n">
        <x:f>'2028 배당표'!AD13</x:f>
        <x:v>50</x:v>
      </x:c>
      <x:c r="R30" s="299" t="n">
        <x:f>'2028 배당표'!AE13</x:f>
        <x:v>16.666666666666668</x:v>
      </x:c>
    </x:row>
    <x:row r="31" ht="17" customHeight="1">
      <x:c r="A31" s="176"/>
      <x:c r="B31" s="283"/>
      <x:c r="C31" s="283" t="str">
        <x:f>'2028 배당표'!C17</x:f>
        <x:v>자체</x:v>
      </x:c>
      <x:c r="D31" s="283" t="str">
        <x:f>'2028 배당표'!D17</x:f>
        <x:v>동아시아 역사 기행</x:v>
      </x:c>
      <x:c r="E31" s="190"/>
      <x:c r="F31" s="187"/>
      <x:c r="G31" s="284"/>
      <x:c r="H31" s="190" t="n">
        <x:f>'2028 배당표'!N17</x:f>
        <x:v>3</x:v>
      </x:c>
      <x:c r="I31" s="187" t="n">
        <x:f>'2028 배당표'!O17</x:f>
        <x:v>2</x:v>
      </x:c>
      <x:c r="J31" s="284" t="n">
        <x:f>'2028 배당표'!P17</x:f>
        <x:v>6</x:v>
      </x:c>
      <x:c r="K31" s="190"/>
      <x:c r="L31" s="187"/>
      <x:c r="M31" s="284"/>
      <x:c r="N31" s="191"/>
      <x:c r="O31" s="188"/>
      <x:c r="P31" s="188"/>
      <x:c r="Q31" s="188"/>
      <x:c r="R31" s="184"/>
    </x:row>
    <x:row r="32" ht="17" customHeight="1">
      <x:c r="A32" s="176"/>
      <x:c r="B32" s="283"/>
      <x:c r="C32" s="283" t="str">
        <x:f>'2028 배당표'!C22</x:f>
        <x:v>통합</x:v>
      </x:c>
      <x:c r="D32" s="283" t="str">
        <x:f>'2028 배당표'!D22</x:f>
        <x:v>통합사회2</x:v>
      </x:c>
      <x:c r="E32" s="190" t="n">
        <x:f>'2028 배당표'!H22</x:f>
        <x:v>4</x:v>
      </x:c>
      <x:c r="F32" s="187" t="n">
        <x:f>'2028 배당표'!I22</x:f>
        <x:v>2</x:v>
      </x:c>
      <x:c r="G32" s="284" t="n">
        <x:f>'2028 배당표'!J22</x:f>
        <x:v>8</x:v>
      </x:c>
      <x:c r="H32" s="190"/>
      <x:c r="I32" s="187"/>
      <x:c r="J32" s="284"/>
      <x:c r="K32" s="190"/>
      <x:c r="L32" s="187"/>
      <x:c r="M32" s="284"/>
      <x:c r="N32" s="191"/>
      <x:c r="O32" s="188"/>
      <x:c r="P32" s="188"/>
      <x:c r="Q32" s="188"/>
      <x:c r="R32" s="184"/>
    </x:row>
    <x:row r="33" ht="17" customHeight="1">
      <x:c r="A33" s="176"/>
      <x:c r="B33" s="300" t="str">
        <x:v>일반사회</x:v>
      </x:c>
      <x:c r="C33" s="295" t="str">
        <x:f>'2028 배당표'!C30</x:f>
        <x:v>자체</x:v>
      </x:c>
      <x:c r="D33" s="295" t="str">
        <x:f>'2028 배당표'!D30</x:f>
        <x:v>법과 사회</x:v>
      </x:c>
      <x:c r="E33" s="203"/>
      <x:c r="F33" s="204"/>
      <x:c r="G33" s="296"/>
      <x:c r="H33" s="203" t="n">
        <x:f>'2028 배당표'!N30</x:f>
        <x:v>3</x:v>
      </x:c>
      <x:c r="I33" s="204" t="n">
        <x:f>'2028 배당표'!O30</x:f>
        <x:v>5</x:v>
      </x:c>
      <x:c r="J33" s="296" t="n">
        <x:f>'2028 배당표'!P30</x:f>
        <x:v>15</x:v>
      </x:c>
      <x:c r="K33" s="203"/>
      <x:c r="L33" s="204"/>
      <x:c r="M33" s="296"/>
      <x:c r="N33" s="297" t="n">
        <x:f>'2028 배당표'!W26</x:f>
        <x:v>4</x:v>
      </x:c>
      <x:c r="O33" s="298" t="n">
        <x:f>'2028 배당표'!AB26</x:f>
        <x:v>27</x:v>
      </x:c>
      <x:c r="P33" s="298" t="n">
        <x:f>'2028 배당표'!AC26</x:f>
        <x:v>38</x:v>
      </x:c>
      <x:c r="Q33" s="298" t="n">
        <x:f>'2028 배당표'!AD26</x:f>
        <x:v>65</x:v>
      </x:c>
      <x:c r="R33" s="299" t="n">
        <x:f>'2028 배당표'!AE26</x:f>
        <x:v>16.25</x:v>
      </x:c>
    </x:row>
    <x:row r="34" ht="17" customHeight="1">
      <x:c r="A34" s="176"/>
      <x:c r="B34" s="283"/>
      <x:c r="C34" s="283" t="str">
        <x:f>'2028 배당표'!C31</x:f>
        <x:v>자체</x:v>
      </x:c>
      <x:c r="D34" s="283" t="str">
        <x:f>'2028 배당표'!D31</x:f>
        <x:v>정치</x:v>
      </x:c>
      <x:c r="E34" s="190"/>
      <x:c r="F34" s="187"/>
      <x:c r="G34" s="284"/>
      <x:c r="H34" s="190" t="n">
        <x:f>'2028 배당표'!N31</x:f>
        <x:v>3</x:v>
      </x:c>
      <x:c r="I34" s="187" t="n">
        <x:f>'2028 배당표'!O31</x:f>
        <x:v>4</x:v>
      </x:c>
      <x:c r="J34" s="284" t="n">
        <x:f>'2028 배당표'!P31</x:f>
        <x:v>12</x:v>
      </x:c>
      <x:c r="K34" s="190"/>
      <x:c r="L34" s="187"/>
      <x:c r="M34" s="284"/>
      <x:c r="N34" s="191"/>
      <x:c r="O34" s="188"/>
      <x:c r="P34" s="188"/>
      <x:c r="Q34" s="188"/>
      <x:c r="R34" s="184"/>
    </x:row>
    <x:row r="35" ht="17" customHeight="1">
      <x:c r="A35" s="176"/>
      <x:c r="B35" s="283"/>
      <x:c r="C35" s="283" t="str">
        <x:f>'2028 배당표'!C36</x:f>
        <x:v>통합</x:v>
      </x:c>
      <x:c r="D35" s="283" t="str">
        <x:f>'2028 배당표'!D36</x:f>
        <x:v>통합사회2</x:v>
      </x:c>
      <x:c r="E35" s="190" t="n">
        <x:f>'2028 배당표'!H36</x:f>
        <x:v>4</x:v>
      </x:c>
      <x:c r="F35" s="187" t="n">
        <x:f>'2028 배당표'!I36</x:f>
        <x:v>5</x:v>
      </x:c>
      <x:c r="G35" s="284" t="n">
        <x:f>'2028 배당표'!J36</x:f>
        <x:v>20</x:v>
      </x:c>
      <x:c r="H35" s="190"/>
      <x:c r="I35" s="187"/>
      <x:c r="J35" s="284"/>
      <x:c r="K35" s="190"/>
      <x:c r="L35" s="187"/>
      <x:c r="M35" s="284"/>
      <x:c r="N35" s="191"/>
      <x:c r="O35" s="188"/>
      <x:c r="P35" s="188"/>
      <x:c r="Q35" s="188"/>
      <x:c r="R35" s="184"/>
    </x:row>
    <x:row r="36" ht="17" customHeight="1">
      <x:c r="A36" s="176"/>
      <x:c r="B36" s="283"/>
      <x:c r="C36" s="283" t="str">
        <x:f>'2028 배당표'!C37</x:f>
        <x:v>융합</x:v>
      </x:c>
      <x:c r="D36" s="283" t="str">
        <x:f>'2028 배당표'!D37</x:f>
        <x:v>금융과 경제생활</x:v>
      </x:c>
      <x:c r="E36" s="190"/>
      <x:c r="F36" s="187"/>
      <x:c r="G36" s="284"/>
      <x:c r="H36" s="190"/>
      <x:c r="I36" s="187"/>
      <x:c r="J36" s="284"/>
      <x:c r="K36" s="190" t="n">
        <x:f>'2028 배당표'!T37</x:f>
        <x:v>3</x:v>
      </x:c>
      <x:c r="L36" s="187" t="n">
        <x:f>'2028 배당표'!U37</x:f>
        <x:v>6</x:v>
      </x:c>
      <x:c r="M36" s="284" t="n">
        <x:f>'2028 배당표'!V37</x:f>
        <x:v>18</x:v>
      </x:c>
      <x:c r="N36" s="191"/>
      <x:c r="O36" s="188"/>
      <x:c r="P36" s="188"/>
      <x:c r="Q36" s="188"/>
      <x:c r="R36" s="184"/>
    </x:row>
    <x:row r="37" ht="17" customHeight="1">
      <x:c r="A37" s="176"/>
      <x:c r="B37" s="300" t="str">
        <x:v>지리</x:v>
      </x:c>
      <x:c r="C37" s="295" t="str">
        <x:f>'2028 배당표'!C43</x:f>
        <x:v>자체</x:v>
      </x:c>
      <x:c r="D37" s="295" t="str">
        <x:f>'2028 배당표'!D43</x:f>
        <x:v>한국지리 탐구</x:v>
      </x:c>
      <x:c r="E37" s="203"/>
      <x:c r="F37" s="204"/>
      <x:c r="G37" s="296"/>
      <x:c r="H37" s="203" t="n">
        <x:f>'2028 배당표'!N43</x:f>
        <x:v>3</x:v>
      </x:c>
      <x:c r="I37" s="204" t="n">
        <x:f>'2028 배당표'!O43</x:f>
        <x:v>2</x:v>
      </x:c>
      <x:c r="J37" s="296" t="n">
        <x:f>'2028 배당표'!P43</x:f>
        <x:v>6</x:v>
      </x:c>
      <x:c r="K37" s="203"/>
      <x:c r="L37" s="204"/>
      <x:c r="M37" s="296"/>
      <x:c r="N37" s="297" t="n">
        <x:f>'2028 배당표'!W40</x:f>
        <x:v>2</x:v>
      </x:c>
      <x:c r="O37" s="298" t="n">
        <x:f>'2028 배당표'!AB40</x:f>
        <x:v>6</x:v>
      </x:c>
      <x:c r="P37" s="298" t="n">
        <x:f>'2028 배당표'!AC40</x:f>
        <x:v>27</x:v>
      </x:c>
      <x:c r="Q37" s="298" t="n">
        <x:f>'2028 배당표'!AD40</x:f>
        <x:v>33</x:v>
      </x:c>
      <x:c r="R37" s="299" t="n">
        <x:f>'2028 배당표'!AE40</x:f>
        <x:v>16.5</x:v>
      </x:c>
    </x:row>
    <x:row r="38" ht="17" customHeight="1">
      <x:c r="A38" s="176"/>
      <x:c r="B38" s="283"/>
      <x:c r="C38" s="283" t="str">
        <x:f>'2028 배당표'!C50</x:f>
        <x:v>융합</x:v>
      </x:c>
      <x:c r="D38" s="283" t="str">
        <x:f>'2028 배당표'!D50</x:f>
        <x:v>여행지리</x:v>
      </x:c>
      <x:c r="E38" s="190"/>
      <x:c r="F38" s="187"/>
      <x:c r="G38" s="284"/>
      <x:c r="H38" s="190"/>
      <x:c r="I38" s="187"/>
      <x:c r="J38" s="284"/>
      <x:c r="K38" s="190" t="n">
        <x:f>'2028 배당표'!T50</x:f>
        <x:v>3</x:v>
      </x:c>
      <x:c r="L38" s="187" t="n">
        <x:f>'2028 배당표'!U50</x:f>
        <x:v>9</x:v>
      </x:c>
      <x:c r="M38" s="284" t="n">
        <x:f>'2028 배당표'!V50</x:f>
        <x:v>27</x:v>
      </x:c>
      <x:c r="N38" s="191"/>
      <x:c r="O38" s="188"/>
      <x:c r="P38" s="188"/>
      <x:c r="Q38" s="188"/>
      <x:c r="R38" s="184"/>
    </x:row>
    <x:row r="39" ht="17" customHeight="1">
      <x:c r="A39" s="176"/>
      <x:c r="B39" s="300" t="str">
        <x:v>윤리</x:v>
      </x:c>
      <x:c r="C39" s="295" t="str">
        <x:f>'2028 배당표'!C55</x:f>
        <x:v>자체</x:v>
      </x:c>
      <x:c r="D39" s="295" t="str">
        <x:f>'2028 배당표'!D55</x:f>
        <x:v>윤리와 사상</x:v>
      </x:c>
      <x:c r="E39" s="203"/>
      <x:c r="F39" s="204"/>
      <x:c r="G39" s="296"/>
      <x:c r="H39" s="203" t="n">
        <x:f>'2028 배당표'!N55</x:f>
        <x:v>3</x:v>
      </x:c>
      <x:c r="I39" s="204" t="n">
        <x:f>'2028 배당표'!O55</x:f>
        <x:v>5</x:v>
      </x:c>
      <x:c r="J39" s="296" t="n">
        <x:f>'2028 배당표'!P55</x:f>
        <x:v>15</x:v>
      </x:c>
      <x:c r="K39" s="203"/>
      <x:c r="L39" s="204"/>
      <x:c r="M39" s="296"/>
      <x:c r="N39" s="297" t="n">
        <x:f>'2028 배당표'!W52</x:f>
        <x:v>3</x:v>
      </x:c>
      <x:c r="O39" s="298" t="n">
        <x:f>'2028 배당표'!AB52</x:f>
        <x:v>15</x:v>
      </x:c>
      <x:c r="P39" s="298" t="n">
        <x:f>'2028 배당표'!AC52</x:f>
        <x:v>32</x:v>
      </x:c>
      <x:c r="Q39" s="298" t="n">
        <x:f>'2028 배당표'!AD52</x:f>
        <x:v>47</x:v>
      </x:c>
      <x:c r="R39" s="299" t="n">
        <x:f>'2028 배당표'!AE52</x:f>
        <x:v>15.666666666666666</x:v>
      </x:c>
    </x:row>
    <x:row r="40" ht="17" customHeight="1">
      <x:c r="A40" s="176"/>
      <x:c r="B40" s="283"/>
      <x:c r="C40" s="283" t="str">
        <x:f>'2028 배당표'!C60</x:f>
        <x:v>통합</x:v>
      </x:c>
      <x:c r="D40" s="283" t="str">
        <x:f>'2028 배당표'!D60</x:f>
        <x:v>통합사회2</x:v>
      </x:c>
      <x:c r="E40" s="190" t="n">
        <x:f>'2028 배당표'!H60</x:f>
        <x:v>4</x:v>
      </x:c>
      <x:c r="F40" s="187" t="n">
        <x:f>'2028 배당표'!I60</x:f>
        <x:v>5</x:v>
      </x:c>
      <x:c r="G40" s="284" t="n">
        <x:f>'2028 배당표'!J60</x:f>
        <x:v>20</x:v>
      </x:c>
      <x:c r="H40" s="190"/>
      <x:c r="I40" s="187"/>
      <x:c r="J40" s="284"/>
      <x:c r="K40" s="190"/>
      <x:c r="L40" s="187"/>
      <x:c r="M40" s="284"/>
      <x:c r="N40" s="191"/>
      <x:c r="O40" s="188"/>
      <x:c r="P40" s="188"/>
      <x:c r="Q40" s="188"/>
      <x:c r="R40" s="184"/>
    </x:row>
    <x:row r="41" ht="17" customHeight="1">
      <x:c r="A41" s="176"/>
      <x:c r="B41" s="283"/>
      <x:c r="C41" s="283" t="str">
        <x:f>'2028 배당표'!C63</x:f>
        <x:v>융합</x:v>
      </x:c>
      <x:c r="D41" s="283" t="str">
        <x:f>'2028 배당표'!D63</x:f>
        <x:v>윤리문제 탐구</x:v>
      </x:c>
      <x:c r="E41" s="190"/>
      <x:c r="F41" s="187"/>
      <x:c r="G41" s="284"/>
      <x:c r="H41" s="190"/>
      <x:c r="I41" s="187"/>
      <x:c r="J41" s="284"/>
      <x:c r="K41" s="190" t="n">
        <x:f>'2028 배당표'!T63</x:f>
        <x:v>3</x:v>
      </x:c>
      <x:c r="L41" s="187" t="n">
        <x:f>'2028 배당표'!U63</x:f>
        <x:v>4</x:v>
      </x:c>
      <x:c r="M41" s="284" t="n">
        <x:f>'2028 배당표'!V63</x:f>
        <x:v>12</x:v>
      </x:c>
      <x:c r="N41" s="191"/>
      <x:c r="O41" s="188"/>
      <x:c r="P41" s="188"/>
      <x:c r="Q41" s="188"/>
      <x:c r="R41" s="184"/>
    </x:row>
    <x:row r="42" ht="18" customHeight="1">
      <x:c r="A42" s="176"/>
      <x:c r="B42" s="305" t="str">
        <x:v>사회 전체</x:v>
      </x:c>
      <x:c r="C42" s="304"/>
      <x:c r="D42" s="304"/>
      <x:c r="E42" s="304"/>
      <x:c r="F42" s="304"/>
      <x:c r="G42" s="304" t="n">
        <x:f>SUM(G30:G41)</x:f>
        <x:v>84</x:v>
      </x:c>
      <x:c r="H42" s="304"/>
      <x:c r="I42" s="304"/>
      <x:c r="J42" s="304" t="n">
        <x:f>SUM(J30:J41)</x:f>
        <x:v>54</x:v>
      </x:c>
      <x:c r="K42" s="304"/>
      <x:c r="L42" s="304"/>
      <x:c r="M42" s="304" t="n">
        <x:f>SUM(M30:M41)</x:f>
        <x:v>57</x:v>
      </x:c>
      <x:c r="N42" s="304" t="n">
        <x:f>'2028 배당표'!W108</x:f>
        <x:v>12</x:v>
      </x:c>
      <x:c r="O42" s="304" t="n">
        <x:f>'2028 배당표'!AB108</x:f>
        <x:v>90</x:v>
      </x:c>
      <x:c r="P42" s="304" t="n">
        <x:f>'2028 배당표'!AC108</x:f>
        <x:v>105</x:v>
      </x:c>
      <x:c r="Q42" s="304" t="n">
        <x:f>'2028 배당표'!AD108</x:f>
        <x:v>195</x:v>
      </x:c>
      <x:c r="R42" s="306" t="n">
        <x:f>'2028 배당표'!AE108</x:f>
        <x:v>16.25</x:v>
      </x:c>
    </x:row>
    <x:row r="43" ht="12" customHeight="1">
      <x:c r="A43" s="176"/>
      <x:c r="B43" s="216" t="str">
        <x:v>윤리와 사상 99명·택3 선택비율로 보정한 가정안. 2027 입학생부터 12학급, 교사 수는 2026학년도 정원 참고값입니다.</x:v>
      </x:c>
      <x:c r="C43" s="216"/>
      <x:c r="D43" s="216"/>
      <x:c r="E43" s="216"/>
      <x:c r="F43" s="216"/>
      <x:c r="G43" s="216"/>
      <x:c r="H43" s="216"/>
      <x:c r="I43" s="216"/>
      <x:c r="J43" s="216"/>
      <x:c r="K43" s="216"/>
      <x:c r="L43" s="216"/>
      <x:c r="M43" s="216"/>
      <x:c r="N43" s="216"/>
      <x:c r="O43" s="216"/>
      <x:c r="P43" s="216"/>
      <x:c r="Q43" s="216"/>
      <x:c r="R43" s="216"/>
    </x:row>
    <x:row r="44" ht="12" customHeight="1">
      <x:c r="A44" s="176"/>
      <x:c r="B44" s="216" t="str">
        <x:f>IF(SUM(G42,J42,M42)=Q42,"교육과정상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44" s="216"/>
      <x:c r="D44" s="216"/>
      <x:c r="E44" s="216"/>
      <x:c r="F44" s="216"/>
      <x:c r="G44" s="216"/>
      <x:c r="H44" s="216"/>
      <x:c r="I44" s="216"/>
      <x:c r="J44" s="216"/>
      <x:c r="K44" s="216"/>
      <x:c r="L44" s="216"/>
      <x:c r="M44" s="216"/>
      <x:c r="N44" s="216"/>
      <x:c r="O44" s="216"/>
      <x:c r="P44" s="216"/>
      <x:c r="Q44" s="216"/>
      <x:c r="R44" s="216"/>
    </x:row>
    <x:row r="45" ht="17" customHeight="1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</x:row>
    <x:row r="46" ht="17" customHeight="1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</x:row>
    <x:row r="47" ht="17" customHeight="1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6"/>
      <x:c r="N47" s="176"/>
      <x:c r="O47" s="176"/>
      <x:c r="P47" s="176"/>
      <x:c r="Q47" s="176"/>
      <x:c r="R47" s="176"/>
    </x:row>
    <x:row r="48" ht="17" customHeight="1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</x:row>
    <x:row r="49" ht="17" customHeight="1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</x:row>
    <x:row r="50" ht="17" customHeight="1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</x:row>
    <x:row r="51" ht="17" customHeight="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</x:row>
    <x:row r="52" ht="17" customHeight="1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</x:row>
    <x:row r="53" ht="17" customHeight="1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</x:row>
    <x:row r="54" ht="17" customHeight="1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</x:row>
    <x:row r="55" ht="17" customHeight="1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</x:row>
    <x:row r="56" ht="17" customHeight="1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</x:row>
    <x:row r="57" ht="17" customHeight="1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</x:row>
    <x:row r="58" ht="17" customHeight="1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</x:row>
    <x:row r="59" ht="17" customHeight="1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</x:row>
    <x:row r="60" ht="17" customHeight="1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</x:row>
    <x:row r="61" ht="17" customHeight="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</x:row>
    <x:row r="62" ht="17" customHeight="1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</x:row>
    <x:row r="63" ht="17" customHeight="1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</x:row>
    <x:row r="64" ht="17" customHeight="1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</x:row>
    <x:row r="65" ht="17" customHeight="1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</x:row>
    <x:row r="66" ht="17" customHeight="1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</x:row>
    <x:row r="67" ht="17" customHeight="1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</x:row>
    <x:row r="68" ht="17" customHeight="1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</x:row>
    <x:row r="69" ht="17" customHeight="1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</x:row>
    <x:row r="70" ht="17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</x:row>
    <x:row r="71" ht="17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</x:row>
    <x:row r="72" ht="17" customHeight="1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</x:row>
    <x:row r="73" ht="17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</x:row>
    <x:row r="74" ht="17" customHeight="1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</x:row>
    <x:row r="75" ht="17" customHeight="1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</x:row>
    <x:row r="76" ht="17" customHeight="1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</x:row>
    <x:row r="77" ht="17" customHeight="1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</x:row>
    <x:row r="78" ht="17" customHeight="1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</x:row>
    <x:row r="79" ht="17" customHeight="1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21:D21"/>
    <x:mergeCell ref="B22:R22"/>
    <x:mergeCell ref="B23:R23"/>
    <x:mergeCell ref="B26:R26"/>
    <x:mergeCell ref="B27:R27"/>
    <x:mergeCell ref="B28:B29"/>
    <x:mergeCell ref="C28:C29"/>
    <x:mergeCell ref="D28:D29"/>
    <x:mergeCell ref="N28:N29"/>
    <x:mergeCell ref="O28:O29"/>
    <x:mergeCell ref="P28:P29"/>
    <x:mergeCell ref="Q28:Q29"/>
    <x:mergeCell ref="R28:R29"/>
    <x:mergeCell ref="E28:G28"/>
    <x:mergeCell ref="H28:J28"/>
    <x:mergeCell ref="K28:M28"/>
    <x:mergeCell ref="B42:D42"/>
    <x:mergeCell ref="B43:R43"/>
    <x:mergeCell ref="B44:R44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4.xml><?xml version="1.0" encoding="utf-8"?>
<x:worksheet xmlns:x="http://schemas.openxmlformats.org/spreadsheetml/2006/main">
  <x:sheetPr>
    <x:tabColor rgb="FF425A39"/>
    <x:pageSetUpPr fitToPage="0" autoPageBreaks="0"/>
  </x:sheetPr>
  <x:sheetViews>
    <x:sheetView showGridLines="0" workbookViewId="0" tabSelected="0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2028학년도 과학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기존안·변경안 공통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(12학급)</x:v>
      </x:c>
      <x:c r="I4" s="282"/>
      <x:c r="J4" s="282"/>
      <x:c r="K4" s="282" t="str">
        <x:v>3학년 (13학급)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물리</x:v>
      </x:c>
      <x:c r="C6" s="295" t="str">
        <x:f>'2028 배당표'!C65</x:f>
        <x:v>자체</x:v>
      </x:c>
      <x:c r="D6" s="295" t="str">
        <x:f>'2028 배당표'!D65</x:f>
        <x:v>물리학</x:v>
      </x:c>
      <x:c r="E6" s="203"/>
      <x:c r="F6" s="204"/>
      <x:c r="G6" s="296"/>
      <x:c r="H6" s="203" t="n">
        <x:f>'2028 배당표'!K65</x:f>
        <x:v>3</x:v>
      </x:c>
      <x:c r="I6" s="204" t="n">
        <x:f>'2028 배당표'!L65</x:f>
        <x:v>4</x:v>
      </x:c>
      <x:c r="J6" s="296" t="n">
        <x:f>'2028 배당표'!M65</x:f>
        <x:v>12</x:v>
      </x:c>
      <x:c r="K6" s="203"/>
      <x:c r="L6" s="204"/>
      <x:c r="M6" s="296"/>
      <x:c r="N6" s="297" t="n">
        <x:f>'2028 배당표'!W64</x:f>
        <x:v>2</x:v>
      </x:c>
      <x:c r="O6" s="298" t="n">
        <x:f>'2028 배당표'!X64</x:f>
        <x:v>18</x:v>
      </x:c>
      <x:c r="P6" s="298" t="n">
        <x:f>'2028 배당표'!Y64</x:f>
        <x:v>12</x:v>
      </x:c>
      <x:c r="Q6" s="298" t="n">
        <x:f>'2028 배당표'!Z64</x:f>
        <x:v>30</x:v>
      </x:c>
      <x:c r="R6" s="299" t="n">
        <x:f>'2028 배당표'!AA64</x:f>
        <x:v>15</x:v>
      </x:c>
    </x:row>
    <x:row r="7" ht="17" customHeight="1">
      <x:c r="A7" s="176"/>
      <x:c r="B7" s="283"/>
      <x:c r="C7" s="283" t="str">
        <x:f>'2028 배당표'!C66</x:f>
        <x:v>자체</x:v>
      </x:c>
      <x:c r="D7" s="283" t="str">
        <x:f>'2028 배당표'!D66</x:f>
        <x:v>전자기와 양자</x:v>
      </x:c>
      <x:c r="E7" s="190"/>
      <x:c r="F7" s="187"/>
      <x:c r="G7" s="284"/>
      <x:c r="H7" s="190"/>
      <x:c r="I7" s="187"/>
      <x:c r="J7" s="284"/>
      <x:c r="K7" s="190" t="n">
        <x:f>'2028 배당표'!Q66</x:f>
        <x:v>3</x:v>
      </x:c>
      <x:c r="L7" s="187" t="n">
        <x:f>'2028 배당표'!R66</x:f>
        <x:v>2</x:v>
      </x:c>
      <x:c r="M7" s="284" t="n">
        <x:f>'2028 배당표'!S66</x:f>
        <x:v>6</x:v>
      </x:c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'2028 배당표'!C68</x:f>
        <x:v>통합</x:v>
      </x:c>
      <x:c r="D8" s="283" t="str">
        <x:f>'2028 배당표'!D68</x:f>
        <x:v>통합과학1</x:v>
      </x:c>
      <x:c r="E8" s="190" t="n">
        <x:f>'2028 배당표'!E68</x:f>
        <x:v>4</x:v>
      </x:c>
      <x:c r="F8" s="187" t="n">
        <x:f>'2028 배당표'!F68</x:f>
        <x:v>2</x:v>
      </x:c>
      <x:c r="G8" s="284" t="n">
        <x:f>'2028 배당표'!G68</x:f>
        <x:v>8</x:v>
      </x:c>
      <x:c r="H8" s="190"/>
      <x:c r="I8" s="187"/>
      <x:c r="J8" s="284"/>
      <x:c r="K8" s="190"/>
      <x:c r="L8" s="187"/>
      <x:c r="M8" s="284"/>
      <x:c r="N8" s="191"/>
      <x:c r="O8" s="188"/>
      <x:c r="P8" s="188"/>
      <x:c r="Q8" s="188"/>
      <x:c r="R8" s="184"/>
    </x:row>
    <x:row r="9" ht="17" customHeight="1">
      <x:c r="A9" s="176"/>
      <x:c r="B9" s="283"/>
      <x:c r="C9" s="283" t="str">
        <x:f>'2028 배당표'!C69</x:f>
        <x:v>실험</x:v>
      </x:c>
      <x:c r="D9" s="283" t="str">
        <x:f>'2028 배당표'!D69</x:f>
        <x:v>과학탐구실험1</x:v>
      </x:c>
      <x:c r="E9" s="190" t="n">
        <x:f>'2028 배당표'!E69</x:f>
        <x:v>1</x:v>
      </x:c>
      <x:c r="F9" s="187" t="n">
        <x:f>'2028 배당표'!F69</x:f>
        <x:v>4</x:v>
      </x:c>
      <x:c r="G9" s="284" t="n">
        <x:f>'2028 배당표'!G69</x:f>
        <x:v>4</x:v>
      </x:c>
      <x:c r="H9" s="190"/>
      <x:c r="I9" s="187"/>
      <x:c r="J9" s="284"/>
      <x:c r="K9" s="190"/>
      <x:c r="L9" s="187"/>
      <x:c r="M9" s="284"/>
      <x:c r="N9" s="191"/>
      <x:c r="O9" s="188"/>
      <x:c r="P9" s="188"/>
      <x:c r="Q9" s="188"/>
      <x:c r="R9" s="184"/>
    </x:row>
    <x:row r="10" ht="17" customHeight="1">
      <x:c r="A10" s="176"/>
      <x:c r="B10" s="300" t="str">
        <x:v>화학</x:v>
      </x:c>
      <x:c r="C10" s="295" t="str">
        <x:f>'2028 배당표'!C76</x:f>
        <x:v>자체</x:v>
      </x:c>
      <x:c r="D10" s="295" t="str">
        <x:f>'2028 배당표'!D76</x:f>
        <x:v>화학</x:v>
      </x:c>
      <x:c r="E10" s="203"/>
      <x:c r="F10" s="204"/>
      <x:c r="G10" s="296"/>
      <x:c r="H10" s="203" t="n">
        <x:f>'2028 배당표'!K76</x:f>
        <x:v>3</x:v>
      </x:c>
      <x:c r="I10" s="204" t="n">
        <x:f>'2028 배당표'!L76</x:f>
        <x:v>5</x:v>
      </x:c>
      <x:c r="J10" s="296" t="n">
        <x:f>'2028 배당표'!M76</x:f>
        <x:v>15</x:v>
      </x:c>
      <x:c r="K10" s="203"/>
      <x:c r="L10" s="204"/>
      <x:c r="M10" s="296"/>
      <x:c r="N10" s="297" t="n">
        <x:f>'2028 배당표'!W75</x:f>
        <x:v>3</x:v>
      </x:c>
      <x:c r="O10" s="298" t="n">
        <x:f>'2028 배당표'!X75</x:f>
        <x:v>60</x:v>
      </x:c>
      <x:c r="P10" s="298" t="n">
        <x:f>'2028 배당표'!Y75</x:f>
        <x:v>0</x:v>
      </x:c>
      <x:c r="Q10" s="298" t="n">
        <x:f>'2028 배당표'!Z75</x:f>
        <x:v>60</x:v>
      </x:c>
      <x:c r="R10" s="299" t="n">
        <x:f>'2028 배당표'!AA75</x:f>
        <x:v>20</x:v>
      </x:c>
    </x:row>
    <x:row r="11" ht="17" customHeight="1">
      <x:c r="A11" s="176"/>
      <x:c r="B11" s="283"/>
      <x:c r="C11" s="283" t="str">
        <x:f>'2028 배당표'!C77</x:f>
        <x:v>자체</x:v>
      </x:c>
      <x:c r="D11" s="283" t="str">
        <x:f>'2028 배당표'!D77</x:f>
        <x:v>물질과 에너지</x:v>
      </x:c>
      <x:c r="E11" s="190"/>
      <x:c r="F11" s="187"/>
      <x:c r="G11" s="284"/>
      <x:c r="H11" s="190"/>
      <x:c r="I11" s="187"/>
      <x:c r="J11" s="284"/>
      <x:c r="K11" s="190" t="n">
        <x:f>'2028 배당표'!Q77</x:f>
        <x:v>3</x:v>
      </x:c>
      <x:c r="L11" s="187" t="n">
        <x:f>'2028 배당표'!R77</x:f>
        <x:v>7</x:v>
      </x:c>
      <x:c r="M11" s="284" t="n">
        <x:f>'2028 배당표'!S77</x:f>
        <x:v>21</x:v>
      </x:c>
      <x:c r="N11" s="191"/>
      <x:c r="O11" s="188"/>
      <x:c r="P11" s="188"/>
      <x:c r="Q11" s="188"/>
      <x:c r="R11" s="184"/>
    </x:row>
    <x:row r="12" ht="17" customHeight="1">
      <x:c r="A12" s="176"/>
      <x:c r="B12" s="283"/>
      <x:c r="C12" s="283" t="str">
        <x:f>'2028 배당표'!C78</x:f>
        <x:v>자체</x:v>
      </x:c>
      <x:c r="D12" s="283" t="str">
        <x:f>'2028 배당표'!D78</x:f>
        <x:v>화학 반응의 세계</x:v>
      </x:c>
      <x:c r="E12" s="190"/>
      <x:c r="F12" s="187"/>
      <x:c r="G12" s="284"/>
      <x:c r="H12" s="190"/>
      <x:c r="I12" s="187"/>
      <x:c r="J12" s="284"/>
      <x:c r="K12" s="190" t="n">
        <x:f>'2028 배당표'!Q78</x:f>
        <x:v>3</x:v>
      </x:c>
      <x:c r="L12" s="187" t="n">
        <x:f>'2028 배당표'!R78</x:f>
        <x:v>8</x:v>
      </x:c>
      <x:c r="M12" s="284" t="n">
        <x:f>'2028 배당표'!S78</x:f>
        <x:v>24</x:v>
      </x:c>
      <x:c r="N12" s="191"/>
      <x:c r="O12" s="188"/>
      <x:c r="P12" s="188"/>
      <x:c r="Q12" s="188"/>
      <x:c r="R12" s="184"/>
    </x:row>
    <x:row r="13" ht="17" customHeight="1">
      <x:c r="A13" s="176"/>
      <x:c r="B13" s="300" t="str">
        <x:v>생물</x:v>
      </x:c>
      <x:c r="C13" s="295" t="str">
        <x:f>'2028 배당표'!C87</x:f>
        <x:v>자체</x:v>
      </x:c>
      <x:c r="D13" s="295" t="str">
        <x:f>'2028 배당표'!D87</x:f>
        <x:v>생명과학</x:v>
      </x:c>
      <x:c r="E13" s="203"/>
      <x:c r="F13" s="204"/>
      <x:c r="G13" s="296"/>
      <x:c r="H13" s="203" t="n">
        <x:f>'2028 배당표'!K87</x:f>
        <x:v>3</x:v>
      </x:c>
      <x:c r="I13" s="204" t="n">
        <x:f>'2028 배당표'!L87</x:f>
        <x:v>5</x:v>
      </x:c>
      <x:c r="J13" s="296" t="n">
        <x:f>'2028 배당표'!M87</x:f>
        <x:v>15</x:v>
      </x:c>
      <x:c r="K13" s="203"/>
      <x:c r="L13" s="204"/>
      <x:c r="M13" s="296"/>
      <x:c r="N13" s="297" t="n">
        <x:f>'2028 배당표'!W86</x:f>
        <x:v>3</x:v>
      </x:c>
      <x:c r="O13" s="298" t="n">
        <x:f>'2028 배당표'!X86</x:f>
        <x:v>30</x:v>
      </x:c>
      <x:c r="P13" s="298" t="n">
        <x:f>'2028 배당표'!Y86</x:f>
        <x:v>15</x:v>
      </x:c>
      <x:c r="Q13" s="298" t="n">
        <x:f>'2028 배당표'!Z86</x:f>
        <x:v>45</x:v>
      </x:c>
      <x:c r="R13" s="299" t="n">
        <x:f>'2028 배당표'!AA86</x:f>
        <x:v>15</x:v>
      </x:c>
    </x:row>
    <x:row r="14" ht="17" customHeight="1">
      <x:c r="A14" s="176"/>
      <x:c r="B14" s="283"/>
      <x:c r="C14" s="283" t="str">
        <x:f>'2028 배당표'!C88</x:f>
        <x:v>자체</x:v>
      </x:c>
      <x:c r="D14" s="283" t="str">
        <x:f>'2028 배당표'!D88</x:f>
        <x:v>세포와 물질대사</x:v>
      </x:c>
      <x:c r="E14" s="190"/>
      <x:c r="F14" s="187"/>
      <x:c r="G14" s="284"/>
      <x:c r="H14" s="190"/>
      <x:c r="I14" s="187"/>
      <x:c r="J14" s="284"/>
      <x:c r="K14" s="190" t="n">
        <x:f>'2028 배당표'!Q88</x:f>
        <x:v>3</x:v>
      </x:c>
      <x:c r="L14" s="187" t="n">
        <x:f>'2028 배당표'!R88</x:f>
        <x:v>5</x:v>
      </x:c>
      <x:c r="M14" s="284" t="n">
        <x:f>'2028 배당표'!S88</x:f>
        <x:v>15</x:v>
      </x:c>
      <x:c r="N14" s="191"/>
      <x:c r="O14" s="188"/>
      <x:c r="P14" s="188"/>
      <x:c r="Q14" s="188"/>
      <x:c r="R14" s="184"/>
    </x:row>
    <x:row r="15" ht="17" customHeight="1">
      <x:c r="A15" s="176"/>
      <x:c r="B15" s="283"/>
      <x:c r="C15" s="283" t="str">
        <x:f>'2028 배당표'!C90</x:f>
        <x:v>통합</x:v>
      </x:c>
      <x:c r="D15" s="283" t="str">
        <x:f>'2028 배당표'!D90</x:f>
        <x:v>통합과학1</x:v>
      </x:c>
      <x:c r="E15" s="190" t="n">
        <x:f>'2028 배당표'!E90</x:f>
        <x:v>4</x:v>
      </x:c>
      <x:c r="F15" s="187" t="n">
        <x:f>'2028 배당표'!F90</x:f>
        <x:v>3</x:v>
      </x:c>
      <x:c r="G15" s="284" t="n">
        <x:f>'2028 배당표'!G90</x:f>
        <x:v>12</x:v>
      </x:c>
      <x:c r="H15" s="190"/>
      <x:c r="I15" s="187"/>
      <x:c r="J15" s="284"/>
      <x:c r="K15" s="190"/>
      <x:c r="L15" s="187"/>
      <x:c r="M15" s="284"/>
      <x:c r="N15" s="191"/>
      <x:c r="O15" s="188"/>
      <x:c r="P15" s="188"/>
      <x:c r="Q15" s="188"/>
      <x:c r="R15" s="184"/>
    </x:row>
    <x:row r="16" ht="17" customHeight="1">
      <x:c r="A16" s="176"/>
      <x:c r="B16" s="283"/>
      <x:c r="C16" s="283" t="str">
        <x:f>'2028 배당표'!C91</x:f>
        <x:v>실험</x:v>
      </x:c>
      <x:c r="D16" s="283" t="str">
        <x:f>'2028 배당표'!D91</x:f>
        <x:v>과학탐구실험1</x:v>
      </x:c>
      <x:c r="E16" s="190" t="n">
        <x:f>'2028 배당표'!E91</x:f>
        <x:v>1</x:v>
      </x:c>
      <x:c r="F16" s="187" t="n">
        <x:f>'2028 배당표'!F91</x:f>
        <x:v>3</x:v>
      </x:c>
      <x:c r="G16" s="284" t="n">
        <x:f>'2028 배당표'!G91</x:f>
        <x:v>3</x:v>
      </x:c>
      <x:c r="H16" s="190"/>
      <x:c r="I16" s="187"/>
      <x:c r="J16" s="284"/>
      <x:c r="K16" s="190"/>
      <x:c r="L16" s="187"/>
      <x:c r="M16" s="284"/>
      <x:c r="N16" s="191"/>
      <x:c r="O16" s="188"/>
      <x:c r="P16" s="188"/>
      <x:c r="Q16" s="188"/>
      <x:c r="R16" s="184"/>
    </x:row>
    <x:row r="17" ht="17" customHeight="1">
      <x:c r="A17" s="176"/>
      <x:c r="B17" s="300" t="str">
        <x:v>지구과학</x:v>
      </x:c>
      <x:c r="C17" s="295" t="str">
        <x:f>'2028 배당표'!C98</x:f>
        <x:v>자체</x:v>
      </x:c>
      <x:c r="D17" s="295" t="str">
        <x:f>'2028 배당표'!D98</x:f>
        <x:v>지구과학</x:v>
      </x:c>
      <x:c r="E17" s="203"/>
      <x:c r="F17" s="204"/>
      <x:c r="G17" s="296"/>
      <x:c r="H17" s="203" t="n">
        <x:f>'2028 배당표'!K98</x:f>
        <x:v>3</x:v>
      </x:c>
      <x:c r="I17" s="204" t="n">
        <x:f>'2028 배당표'!L98</x:f>
        <x:v>4</x:v>
      </x:c>
      <x:c r="J17" s="296" t="n">
        <x:f>'2028 배당표'!M98</x:f>
        <x:v>12</x:v>
      </x:c>
      <x:c r="K17" s="203"/>
      <x:c r="L17" s="204"/>
      <x:c r="M17" s="296"/>
      <x:c r="N17" s="297" t="n">
        <x:f>'2028 배당표'!W97</x:f>
        <x:v>3</x:v>
      </x:c>
      <x:c r="O17" s="298" t="n">
        <x:f>'2028 배당표'!X97</x:f>
        <x:v>12</x:v>
      </x:c>
      <x:c r="P17" s="298" t="n">
        <x:f>'2028 배당표'!Y97</x:f>
        <x:v>33</x:v>
      </x:c>
      <x:c r="Q17" s="298" t="n">
        <x:f>'2028 배당표'!Z97</x:f>
        <x:v>45</x:v>
      </x:c>
      <x:c r="R17" s="299" t="n">
        <x:f>'2028 배당표'!AA97</x:f>
        <x:v>15</x:v>
      </x:c>
    </x:row>
    <x:row r="18" ht="17" customHeight="1">
      <x:c r="A18" s="176"/>
      <x:c r="B18" s="283"/>
      <x:c r="C18" s="283" t="str">
        <x:f>'2028 배당표'!C101</x:f>
        <x:v>통합</x:v>
      </x:c>
      <x:c r="D18" s="283" t="str">
        <x:f>'2028 배당표'!D101</x:f>
        <x:v>통합과학1</x:v>
      </x:c>
      <x:c r="E18" s="190" t="n">
        <x:f>'2028 배당표'!E101</x:f>
        <x:v>4</x:v>
      </x:c>
      <x:c r="F18" s="187" t="n">
        <x:f>'2028 배당표'!F101</x:f>
        <x:v>7</x:v>
      </x:c>
      <x:c r="G18" s="284" t="n">
        <x:f>'2028 배당표'!G101</x:f>
        <x:v>28</x:v>
      </x:c>
      <x:c r="H18" s="190"/>
      <x:c r="I18" s="187"/>
      <x:c r="J18" s="284"/>
      <x:c r="K18" s="190"/>
      <x:c r="L18" s="187"/>
      <x:c r="M18" s="284"/>
      <x:c r="N18" s="191"/>
      <x:c r="O18" s="188"/>
      <x:c r="P18" s="188"/>
      <x:c r="Q18" s="188"/>
      <x:c r="R18" s="184"/>
    </x:row>
    <x:row r="19" ht="17" customHeight="1">
      <x:c r="A19" s="176"/>
      <x:c r="B19" s="283"/>
      <x:c r="C19" s="283" t="str">
        <x:f>'2028 배당표'!C102</x:f>
        <x:v>실험</x:v>
      </x:c>
      <x:c r="D19" s="283" t="str">
        <x:f>'2028 배당표'!D102</x:f>
        <x:v>과학탐구실험1</x:v>
      </x:c>
      <x:c r="E19" s="190" t="n">
        <x:f>'2028 배당표'!E102</x:f>
        <x:v>1</x:v>
      </x:c>
      <x:c r="F19" s="187" t="n">
        <x:f>'2028 배당표'!F102</x:f>
        <x:v>5</x:v>
      </x:c>
      <x:c r="G19" s="284" t="n">
        <x:f>'2028 배당표'!G102</x:f>
        <x:v>5</x:v>
      </x:c>
      <x:c r="H19" s="190"/>
      <x:c r="I19" s="187"/>
      <x:c r="J19" s="284"/>
      <x:c r="K19" s="190"/>
      <x:c r="L19" s="187"/>
      <x:c r="M19" s="284"/>
      <x:c r="N19" s="191"/>
      <x:c r="O19" s="188"/>
      <x:c r="P19" s="188"/>
      <x:c r="Q19" s="188"/>
      <x:c r="R19" s="184"/>
    </x:row>
    <x:row r="20" ht="18" customHeight="1">
      <x:c r="A20" s="176"/>
      <x:c r="B20" s="305" t="str">
        <x:v>과학 전체</x:v>
      </x:c>
      <x:c r="C20" s="304"/>
      <x:c r="D20" s="304"/>
      <x:c r="E20" s="304"/>
      <x:c r="F20" s="304"/>
      <x:c r="G20" s="304" t="n">
        <x:f>SUM(G6:G19)</x:f>
        <x:v>60</x:v>
      </x:c>
      <x:c r="H20" s="304"/>
      <x:c r="I20" s="304"/>
      <x:c r="J20" s="304" t="n">
        <x:f>SUM(J6:J19)</x:f>
        <x:v>54</x:v>
      </x:c>
      <x:c r="K20" s="304"/>
      <x:c r="L20" s="304"/>
      <x:c r="M20" s="304" t="n">
        <x:f>SUM(M6:M19)</x:f>
        <x:v>66</x:v>
      </x:c>
      <x:c r="N20" s="304" t="n">
        <x:f>'2028 배당표'!W109</x:f>
        <x:v>11</x:v>
      </x:c>
      <x:c r="O20" s="304" t="n">
        <x:f>'2028 배당표'!X109</x:f>
        <x:v>120</x:v>
      </x:c>
      <x:c r="P20" s="304" t="n">
        <x:f>'2028 배당표'!Y109</x:f>
        <x:v>60</x:v>
      </x:c>
      <x:c r="Q20" s="304" t="n">
        <x:f>'2028 배당표'!Z109</x:f>
        <x:v>180</x:v>
      </x:c>
      <x:c r="R20" s="306" t="n">
        <x:f>'2028 배당표'!AA109</x:f>
        <x:v>16.363636363636363</x:v>
      </x:c>
    </x:row>
    <x:row r="21" ht="12" customHeight="1">
      <x:c r="A21" s="176"/>
      <x:c r="B21" s="216" t="str">
        <x:v>경제 57명·택3 선택비율로 보정한 가정안. 2027 입학생부터 12학급, 교사 수는 2026학년도 정원 참고값입니다.</x:v>
      </x:c>
      <x:c r="C21" s="216"/>
      <x:c r="D21" s="216"/>
      <x:c r="E21" s="216"/>
      <x:c r="F21" s="216"/>
      <x:c r="G21" s="216"/>
      <x:c r="H21" s="216"/>
      <x:c r="I21" s="216"/>
      <x:c r="J21" s="216"/>
      <x:c r="K21" s="216"/>
      <x:c r="L21" s="216"/>
      <x:c r="M21" s="216"/>
      <x:c r="N21" s="216"/>
      <x:c r="O21" s="216"/>
      <x:c r="P21" s="216"/>
      <x:c r="Q21" s="216"/>
      <x:c r="R21" s="216"/>
    </x:row>
    <x:row r="22" ht="12" customHeight="1">
      <x:c r="A22" s="176"/>
      <x:c r="B22" s="216" t="str">
        <x:f>IF(SUM(G20,J20,M20)=Q20,"교육과정상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2" s="216"/>
      <x:c r="D22" s="216"/>
      <x:c r="E22" s="216"/>
      <x:c r="F22" s="216"/>
      <x:c r="G22" s="216"/>
      <x:c r="H22" s="216"/>
      <x:c r="I22" s="216"/>
      <x:c r="J22" s="216"/>
      <x:c r="K22" s="216"/>
      <x:c r="L22" s="216"/>
      <x:c r="M22" s="216"/>
      <x:c r="N22" s="216"/>
      <x:c r="O22" s="216"/>
      <x:c r="P22" s="216"/>
      <x:c r="Q22" s="216"/>
      <x:c r="R22" s="216"/>
    </x:row>
    <x:row r="23" ht="17" customHeight="1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</x:row>
    <x:row r="24" ht="17" customHeight="1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</x:row>
    <x:row r="25" ht="24" customHeight="1">
      <x:c r="A25" s="176"/>
      <x:c r="B25" s="177" t="str">
        <x:v>2028학년도 과학 주간수업 배당표</x:v>
      </x:c>
      <x:c r="C25" s="177"/>
      <x:c r="D25" s="177"/>
      <x:c r="E25" s="177"/>
      <x:c r="F25" s="177"/>
      <x:c r="G25" s="177"/>
      <x:c r="H25" s="177"/>
      <x:c r="I25" s="177"/>
      <x:c r="J25" s="177"/>
      <x:c r="K25" s="177"/>
      <x:c r="L25" s="177"/>
      <x:c r="M25" s="177"/>
      <x:c r="N25" s="177"/>
      <x:c r="O25" s="177"/>
      <x:c r="P25" s="177"/>
      <x:c r="Q25" s="177"/>
      <x:c r="R25" s="177"/>
    </x:row>
    <x:row r="26" ht="16" customHeight="1">
      <x:c r="A26" s="176"/>
      <x:c r="B26" s="178" t="str">
        <x:v>2학기  /  기존안·변경안 공통  /  단위: 시간·주, 반, 명</x:v>
      </x:c>
      <x:c r="C26" s="178"/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</x:row>
    <x:row r="27" ht="22" customHeight="1">
      <x:c r="A27" s="176"/>
      <x:c r="B27" s="282" t="str">
        <x:v>담당
교과</x:v>
      </x:c>
      <x:c r="C27" s="282" t="str">
        <x:v>구분</x:v>
      </x:c>
      <x:c r="D27" s="282" t="str">
        <x:v>과목명</x:v>
      </x:c>
      <x:c r="E27" s="282" t="str">
        <x:v>1학년 (12학급)</x:v>
      </x:c>
      <x:c r="F27" s="282"/>
      <x:c r="G27" s="282"/>
      <x:c r="H27" s="282" t="str">
        <x:v>2학년 (12학급)</x:v>
      </x:c>
      <x:c r="I27" s="282"/>
      <x:c r="J27" s="282"/>
      <x:c r="K27" s="282" t="str">
        <x:v>3학년 (13학급)</x:v>
      </x:c>
      <x:c r="L27" s="282"/>
      <x:c r="M27" s="282"/>
      <x:c r="N27" s="282" t="str">
        <x:v>교사
수</x:v>
      </x:c>
      <x:c r="O27" s="282" t="str">
        <x:v>자체
시수</x:v>
      </x:c>
      <x:c r="P27" s="282" t="str">
        <x:v>배정
시수</x:v>
      </x:c>
      <x:c r="Q27" s="282" t="str">
        <x:v>교과
총시수</x:v>
      </x:c>
      <x:c r="R27" s="282" t="str">
        <x:v>교사 1인
평균</x:v>
      </x:c>
    </x:row>
    <x:row r="28" ht="22" customHeight="1">
      <x:c r="A28" s="176"/>
      <x:c r="B28" s="282"/>
      <x:c r="C28" s="282"/>
      <x:c r="D28" s="282"/>
      <x:c r="E28" s="282" t="str">
        <x:v>반당
시수</x:v>
      </x:c>
      <x:c r="F28" s="282" t="str">
        <x:v>개설
반 수</x:v>
      </x:c>
      <x:c r="G28" s="282" t="str">
        <x:v>교과
시수</x:v>
      </x:c>
      <x:c r="H28" s="282" t="str">
        <x:v>반당
시수</x:v>
      </x:c>
      <x:c r="I28" s="282" t="str">
        <x:v>개설
반 수</x:v>
      </x:c>
      <x:c r="J28" s="282" t="str">
        <x:v>교과
시수</x:v>
      </x:c>
      <x:c r="K28" s="282" t="str">
        <x:v>반당
시수</x:v>
      </x:c>
      <x:c r="L28" s="282" t="str">
        <x:v>개설
반 수</x:v>
      </x:c>
      <x:c r="M28" s="282" t="str">
        <x:v>교과
시수</x:v>
      </x:c>
      <x:c r="N28" s="282"/>
      <x:c r="O28" s="282"/>
      <x:c r="P28" s="282"/>
      <x:c r="Q28" s="282"/>
      <x:c r="R28" s="282"/>
    </x:row>
    <x:row r="29" ht="17" customHeight="1">
      <x:c r="A29" s="176"/>
      <x:c r="B29" s="300" t="str">
        <x:v>물리</x:v>
      </x:c>
      <x:c r="C29" s="295" t="str">
        <x:f>'2028 배당표'!C67</x:f>
        <x:v>자체</x:v>
      </x:c>
      <x:c r="D29" s="295" t="str">
        <x:f>'2028 배당표'!D67</x:f>
        <x:v>역학과 에너지</x:v>
      </x:c>
      <x:c r="E29" s="203"/>
      <x:c r="F29" s="204"/>
      <x:c r="G29" s="296"/>
      <x:c r="H29" s="203" t="n">
        <x:f>'2028 배당표'!N67</x:f>
        <x:v>3</x:v>
      </x:c>
      <x:c r="I29" s="204" t="n">
        <x:f>'2028 배당표'!O67</x:f>
        <x:v>4</x:v>
      </x:c>
      <x:c r="J29" s="296" t="n">
        <x:f>'2028 배당표'!P67</x:f>
        <x:v>12</x:v>
      </x:c>
      <x:c r="K29" s="203"/>
      <x:c r="L29" s="204"/>
      <x:c r="M29" s="296"/>
      <x:c r="N29" s="297" t="n">
        <x:f>'2028 배당표'!W64</x:f>
        <x:v>2</x:v>
      </x:c>
      <x:c r="O29" s="298" t="n">
        <x:f>'2028 배당표'!AB64</x:f>
        <x:v>12</x:v>
      </x:c>
      <x:c r="P29" s="298" t="n">
        <x:f>'2028 배당표'!AC64</x:f>
        <x:v>27</x:v>
      </x:c>
      <x:c r="Q29" s="298" t="n">
        <x:f>'2028 배당표'!AD64</x:f>
        <x:v>39</x:v>
      </x:c>
      <x:c r="R29" s="299" t="n">
        <x:f>'2028 배당표'!AE64</x:f>
        <x:v>19.5</x:v>
      </x:c>
    </x:row>
    <x:row r="30" ht="17" customHeight="1">
      <x:c r="A30" s="176"/>
      <x:c r="B30" s="283"/>
      <x:c r="C30" s="283" t="str">
        <x:f>'2028 배당표'!C70</x:f>
        <x:v>통합</x:v>
      </x:c>
      <x:c r="D30" s="283" t="str">
        <x:f>'2028 배당표'!D70</x:f>
        <x:v>통합과학2</x:v>
      </x:c>
      <x:c r="E30" s="190" t="n">
        <x:f>'2028 배당표'!H70</x:f>
        <x:v>4</x:v>
      </x:c>
      <x:c r="F30" s="187" t="n">
        <x:f>'2028 배당표'!I70</x:f>
        <x:v>4</x:v>
      </x:c>
      <x:c r="G30" s="284" t="n">
        <x:f>'2028 배당표'!J70</x:f>
        <x:v>16</x:v>
      </x:c>
      <x:c r="H30" s="190"/>
      <x:c r="I30" s="187"/>
      <x:c r="J30" s="284"/>
      <x:c r="K30" s="190"/>
      <x:c r="L30" s="187"/>
      <x:c r="M30" s="284"/>
      <x:c r="N30" s="191"/>
      <x:c r="O30" s="188"/>
      <x:c r="P30" s="188"/>
      <x:c r="Q30" s="188"/>
      <x:c r="R30" s="184"/>
    </x:row>
    <x:row r="31" ht="17" customHeight="1">
      <x:c r="A31" s="176"/>
      <x:c r="B31" s="283"/>
      <x:c r="C31" s="283" t="str">
        <x:f>'2028 배당표'!C71</x:f>
        <x:v>실험</x:v>
      </x:c>
      <x:c r="D31" s="283" t="str">
        <x:f>'2028 배당표'!D71</x:f>
        <x:v>과학탐구실험2</x:v>
      </x:c>
      <x:c r="E31" s="190" t="n">
        <x:f>'2028 배당표'!H71</x:f>
        <x:v>1</x:v>
      </x:c>
      <x:c r="F31" s="187" t="n">
        <x:f>'2028 배당표'!I71</x:f>
        <x:v>2</x:v>
      </x:c>
      <x:c r="G31" s="284" t="n">
        <x:f>'2028 배당표'!J71</x:f>
        <x:v>2</x:v>
      </x:c>
      <x:c r="H31" s="190"/>
      <x:c r="I31" s="187"/>
      <x:c r="J31" s="284"/>
      <x:c r="K31" s="190"/>
      <x:c r="L31" s="187"/>
      <x:c r="M31" s="284"/>
      <x:c r="N31" s="191"/>
      <x:c r="O31" s="188"/>
      <x:c r="P31" s="188"/>
      <x:c r="Q31" s="188"/>
      <x:c r="R31" s="184"/>
    </x:row>
    <x:row r="32" ht="17" customHeight="1">
      <x:c r="A32" s="176"/>
      <x:c r="B32" s="283"/>
      <x:c r="C32" s="283" t="str">
        <x:f>'2028 배당표'!C72</x:f>
        <x:v>융합</x:v>
      </x:c>
      <x:c r="D32" s="283" t="str">
        <x:f>'2028 배당표'!D72</x:f>
        <x:v>과학의 역사와 문화</x:v>
      </x:c>
      <x:c r="E32" s="190"/>
      <x:c r="F32" s="187"/>
      <x:c r="G32" s="284"/>
      <x:c r="H32" s="190"/>
      <x:c r="I32" s="187"/>
      <x:c r="J32" s="284"/>
      <x:c r="K32" s="190" t="n">
        <x:f>'2028 배당표'!T72</x:f>
        <x:v>3</x:v>
      </x:c>
      <x:c r="L32" s="187" t="n">
        <x:f>'2028 배당표'!U72</x:f>
        <x:v>1</x:v>
      </x:c>
      <x:c r="M32" s="284" t="n">
        <x:f>'2028 배당표'!V72</x:f>
        <x:v>3</x:v>
      </x:c>
      <x:c r="N32" s="191"/>
      <x:c r="O32" s="188"/>
      <x:c r="P32" s="188"/>
      <x:c r="Q32" s="188"/>
      <x:c r="R32" s="184"/>
    </x:row>
    <x:row r="33" ht="17" customHeight="1">
      <x:c r="A33" s="176"/>
      <x:c r="B33" s="283"/>
      <x:c r="C33" s="283" t="str">
        <x:f>'2028 배당표'!C74</x:f>
        <x:v>융합</x:v>
      </x:c>
      <x:c r="D33" s="283" t="str">
        <x:f>'2028 배당표'!D74</x:f>
        <x:v>융합과학 탐구</x:v>
      </x:c>
      <x:c r="E33" s="190"/>
      <x:c r="F33" s="187"/>
      <x:c r="G33" s="284"/>
      <x:c r="H33" s="190"/>
      <x:c r="I33" s="187"/>
      <x:c r="J33" s="284"/>
      <x:c r="K33" s="190" t="n">
        <x:f>'2028 배당표'!T74</x:f>
        <x:v>3</x:v>
      </x:c>
      <x:c r="L33" s="187" t="n">
        <x:f>'2028 배당표'!U74</x:f>
        <x:v>2</x:v>
      </x:c>
      <x:c r="M33" s="284" t="n">
        <x:f>'2028 배당표'!V74</x:f>
        <x:v>6</x:v>
      </x:c>
      <x:c r="N33" s="191"/>
      <x:c r="O33" s="188"/>
      <x:c r="P33" s="188"/>
      <x:c r="Q33" s="188"/>
      <x:c r="R33" s="184"/>
    </x:row>
    <x:row r="34" ht="17" customHeight="1">
      <x:c r="A34" s="176"/>
      <x:c r="B34" s="300" t="str">
        <x:v>화학</x:v>
      </x:c>
      <x:c r="C34" s="295" t="str">
        <x:f>'2028 배당표'!C78</x:f>
        <x:v>자체</x:v>
      </x:c>
      <x:c r="D34" s="295" t="str">
        <x:f>'2028 배당표'!D78</x:f>
        <x:v>화학 반응의 세계</x:v>
      </x:c>
      <x:c r="E34" s="203"/>
      <x:c r="F34" s="204"/>
      <x:c r="G34" s="296"/>
      <x:c r="H34" s="203" t="n">
        <x:f>'2028 배당표'!N78</x:f>
        <x:v>3</x:v>
      </x:c>
      <x:c r="I34" s="204" t="n">
        <x:f>'2028 배당표'!O78</x:f>
        <x:v>5</x:v>
      </x:c>
      <x:c r="J34" s="296" t="n">
        <x:f>'2028 배당표'!P78</x:f>
        <x:v>15</x:v>
      </x:c>
      <x:c r="K34" s="203"/>
      <x:c r="L34" s="204"/>
      <x:c r="M34" s="296"/>
      <x:c r="N34" s="297" t="n">
        <x:f>'2028 배당표'!W75</x:f>
        <x:v>3</x:v>
      </x:c>
      <x:c r="O34" s="298" t="n">
        <x:f>'2028 배당표'!AB75</x:f>
        <x:v>15</x:v>
      </x:c>
      <x:c r="P34" s="298" t="n">
        <x:f>'2028 배당표'!AC75</x:f>
        <x:v>43</x:v>
      </x:c>
      <x:c r="Q34" s="298" t="n">
        <x:f>'2028 배당표'!AD75</x:f>
        <x:v>58</x:v>
      </x:c>
      <x:c r="R34" s="299" t="n">
        <x:f>'2028 배당표'!AE75</x:f>
        <x:v>19.333333333333332</x:v>
      </x:c>
    </x:row>
    <x:row r="35" ht="17" customHeight="1">
      <x:c r="A35" s="176"/>
      <x:c r="B35" s="283"/>
      <x:c r="C35" s="283" t="str">
        <x:f>'2028 배당표'!C81</x:f>
        <x:v>통합</x:v>
      </x:c>
      <x:c r="D35" s="283" t="str">
        <x:f>'2028 배당표'!D81</x:f>
        <x:v>통합과학2</x:v>
      </x:c>
      <x:c r="E35" s="190" t="n">
        <x:f>'2028 배당표'!H81</x:f>
        <x:v>4</x:v>
      </x:c>
      <x:c r="F35" s="187" t="n">
        <x:f>'2028 배당표'!I81</x:f>
        <x:v>6</x:v>
      </x:c>
      <x:c r="G35" s="284" t="n">
        <x:f>'2028 배당표'!J81</x:f>
        <x:v>24</x:v>
      </x:c>
      <x:c r="H35" s="190"/>
      <x:c r="I35" s="187"/>
      <x:c r="J35" s="284"/>
      <x:c r="K35" s="190"/>
      <x:c r="L35" s="187"/>
      <x:c r="M35" s="284"/>
      <x:c r="N35" s="191"/>
      <x:c r="O35" s="188"/>
      <x:c r="P35" s="188"/>
      <x:c r="Q35" s="188"/>
      <x:c r="R35" s="184"/>
    </x:row>
    <x:row r="36" ht="17" customHeight="1">
      <x:c r="A36" s="176"/>
      <x:c r="B36" s="283"/>
      <x:c r="C36" s="283" t="str">
        <x:f>'2028 배당표'!C82</x:f>
        <x:v>실험</x:v>
      </x:c>
      <x:c r="D36" s="283" t="str">
        <x:f>'2028 배당표'!D82</x:f>
        <x:v>과학탐구실험2</x:v>
      </x:c>
      <x:c r="E36" s="190" t="n">
        <x:f>'2028 배당표'!H82</x:f>
        <x:v>1</x:v>
      </x:c>
      <x:c r="F36" s="187" t="n">
        <x:f>'2028 배당표'!I82</x:f>
        <x:v>4</x:v>
      </x:c>
      <x:c r="G36" s="284" t="n">
        <x:f>'2028 배당표'!J82</x:f>
        <x:v>4</x:v>
      </x:c>
      <x:c r="H36" s="190"/>
      <x:c r="I36" s="187"/>
      <x:c r="J36" s="284"/>
      <x:c r="K36" s="190"/>
      <x:c r="L36" s="187"/>
      <x:c r="M36" s="284"/>
      <x:c r="N36" s="191"/>
      <x:c r="O36" s="188"/>
      <x:c r="P36" s="188"/>
      <x:c r="Q36" s="188"/>
      <x:c r="R36" s="184"/>
    </x:row>
    <x:row r="37" ht="17" customHeight="1">
      <x:c r="A37" s="176"/>
      <x:c r="B37" s="283"/>
      <x:c r="C37" s="283" t="str">
        <x:f>'2028 배당표'!C83</x:f>
        <x:v>융합</x:v>
      </x:c>
      <x:c r="D37" s="283" t="str">
        <x:f>'2028 배당표'!D83</x:f>
        <x:v>과학의 역사와 문화</x:v>
      </x:c>
      <x:c r="E37" s="190"/>
      <x:c r="F37" s="187"/>
      <x:c r="G37" s="284"/>
      <x:c r="H37" s="190"/>
      <x:c r="I37" s="187"/>
      <x:c r="J37" s="284"/>
      <x:c r="K37" s="190" t="n">
        <x:f>'2028 배당표'!T83</x:f>
        <x:v>3</x:v>
      </x:c>
      <x:c r="L37" s="187" t="n">
        <x:f>'2028 배당표'!U83</x:f>
        <x:v>3</x:v>
      </x:c>
      <x:c r="M37" s="284" t="n">
        <x:f>'2028 배당표'!V83</x:f>
        <x:v>9</x:v>
      </x:c>
      <x:c r="N37" s="191"/>
      <x:c r="O37" s="188"/>
      <x:c r="P37" s="188"/>
      <x:c r="Q37" s="188"/>
      <x:c r="R37" s="184"/>
    </x:row>
    <x:row r="38" ht="17" customHeight="1">
      <x:c r="A38" s="176"/>
      <x:c r="B38" s="283"/>
      <x:c r="C38" s="283" t="str">
        <x:f>'2028 배당표'!C85</x:f>
        <x:v>융합</x:v>
      </x:c>
      <x:c r="D38" s="283" t="str">
        <x:f>'2028 배당표'!D85</x:f>
        <x:v>융합과학 탐구</x:v>
      </x:c>
      <x:c r="E38" s="190"/>
      <x:c r="F38" s="187"/>
      <x:c r="G38" s="284"/>
      <x:c r="H38" s="190"/>
      <x:c r="I38" s="187"/>
      <x:c r="J38" s="284"/>
      <x:c r="K38" s="190" t="n">
        <x:f>'2028 배당표'!T85</x:f>
        <x:v>3</x:v>
      </x:c>
      <x:c r="L38" s="187" t="n">
        <x:f>'2028 배당표'!U85</x:f>
        <x:v>2</x:v>
      </x:c>
      <x:c r="M38" s="284" t="n">
        <x:f>'2028 배당표'!V85</x:f>
        <x:v>6</x:v>
      </x:c>
      <x:c r="N38" s="191"/>
      <x:c r="O38" s="188"/>
      <x:c r="P38" s="188"/>
      <x:c r="Q38" s="188"/>
      <x:c r="R38" s="184"/>
    </x:row>
    <x:row r="39" ht="17" customHeight="1">
      <x:c r="A39" s="176"/>
      <x:c r="B39" s="300" t="str">
        <x:v>생물</x:v>
      </x:c>
      <x:c r="C39" s="295" t="str">
        <x:f>'2028 배당표'!C89</x:f>
        <x:v>자체</x:v>
      </x:c>
      <x:c r="D39" s="295" t="str">
        <x:f>'2028 배당표'!D89</x:f>
        <x:v>생물의 유전</x:v>
      </x:c>
      <x:c r="E39" s="203"/>
      <x:c r="F39" s="204"/>
      <x:c r="G39" s="296"/>
      <x:c r="H39" s="203" t="n">
        <x:f>'2028 배당표'!N89</x:f>
        <x:v>3</x:v>
      </x:c>
      <x:c r="I39" s="204" t="n">
        <x:f>'2028 배당표'!O89</x:f>
        <x:v>4</x:v>
      </x:c>
      <x:c r="J39" s="296" t="n">
        <x:f>'2028 배당표'!P89</x:f>
        <x:v>12</x:v>
      </x:c>
      <x:c r="K39" s="203"/>
      <x:c r="L39" s="204"/>
      <x:c r="M39" s="296"/>
      <x:c r="N39" s="297" t="n">
        <x:f>'2028 배당표'!W86</x:f>
        <x:v>3</x:v>
      </x:c>
      <x:c r="O39" s="298" t="n">
        <x:f>'2028 배당표'!AB86</x:f>
        <x:v>12</x:v>
      </x:c>
      <x:c r="P39" s="298" t="n">
        <x:f>'2028 배당표'!AC86</x:f>
        <x:v>46</x:v>
      </x:c>
      <x:c r="Q39" s="298" t="n">
        <x:f>'2028 배당표'!AD86</x:f>
        <x:v>58</x:v>
      </x:c>
      <x:c r="R39" s="299" t="n">
        <x:f>'2028 배당표'!AE86</x:f>
        <x:v>19.333333333333332</x:v>
      </x:c>
    </x:row>
    <x:row r="40" ht="17" customHeight="1">
      <x:c r="A40" s="176"/>
      <x:c r="B40" s="283"/>
      <x:c r="C40" s="283" t="str">
        <x:f>'2028 배당표'!C92</x:f>
        <x:v>통합</x:v>
      </x:c>
      <x:c r="D40" s="283" t="str">
        <x:f>'2028 배당표'!D92</x:f>
        <x:v>통합과학2</x:v>
      </x:c>
      <x:c r="E40" s="190" t="n">
        <x:f>'2028 배당표'!H92</x:f>
        <x:v>4</x:v>
      </x:c>
      <x:c r="F40" s="187" t="n">
        <x:f>'2028 배당표'!I92</x:f>
        <x:v>1</x:v>
      </x:c>
      <x:c r="G40" s="284" t="n">
        <x:f>'2028 배당표'!J92</x:f>
        <x:v>4</x:v>
      </x:c>
      <x:c r="H40" s="190"/>
      <x:c r="I40" s="187"/>
      <x:c r="J40" s="284"/>
      <x:c r="K40" s="190"/>
      <x:c r="L40" s="187"/>
      <x:c r="M40" s="284"/>
      <x:c r="N40" s="191"/>
      <x:c r="O40" s="188"/>
      <x:c r="P40" s="188"/>
      <x:c r="Q40" s="188"/>
      <x:c r="R40" s="184"/>
    </x:row>
    <x:row r="41" ht="17" customHeight="1">
      <x:c r="A41" s="176"/>
      <x:c r="B41" s="283"/>
      <x:c r="C41" s="283" t="str">
        <x:f>'2028 배당표'!C93</x:f>
        <x:v>실험</x:v>
      </x:c>
      <x:c r="D41" s="283" t="str">
        <x:f>'2028 배당표'!D93</x:f>
        <x:v>과학탐구실험2</x:v>
      </x:c>
      <x:c r="E41" s="190" t="n">
        <x:f>'2028 배당표'!H93</x:f>
        <x:v>1</x:v>
      </x:c>
      <x:c r="F41" s="187" t="n">
        <x:f>'2028 배당표'!I93</x:f>
        <x:v>3</x:v>
      </x:c>
      <x:c r="G41" s="284" t="n">
        <x:f>'2028 배당표'!J93</x:f>
        <x:v>3</x:v>
      </x:c>
      <x:c r="H41" s="190"/>
      <x:c r="I41" s="187"/>
      <x:c r="J41" s="284"/>
      <x:c r="K41" s="190"/>
      <x:c r="L41" s="187"/>
      <x:c r="M41" s="284"/>
      <x:c r="N41" s="191"/>
      <x:c r="O41" s="188"/>
      <x:c r="P41" s="188"/>
      <x:c r="Q41" s="188"/>
      <x:c r="R41" s="184"/>
    </x:row>
    <x:row r="42" ht="17" customHeight="1">
      <x:c r="A42" s="176"/>
      <x:c r="B42" s="283"/>
      <x:c r="C42" s="283" t="str">
        <x:f>'2028 배당표'!C94</x:f>
        <x:v>융합</x:v>
      </x:c>
      <x:c r="D42" s="283" t="str">
        <x:f>'2028 배당표'!D94</x:f>
        <x:v>과학의 역사와 문화</x:v>
      </x:c>
      <x:c r="E42" s="190"/>
      <x:c r="F42" s="187"/>
      <x:c r="G42" s="284"/>
      <x:c r="H42" s="190"/>
      <x:c r="I42" s="187"/>
      <x:c r="J42" s="284"/>
      <x:c r="K42" s="190" t="n">
        <x:f>'2028 배당표'!T94</x:f>
        <x:v>3</x:v>
      </x:c>
      <x:c r="L42" s="187" t="n">
        <x:f>'2028 배당표'!U94</x:f>
        <x:v>3</x:v>
      </x:c>
      <x:c r="M42" s="284" t="n">
        <x:f>'2028 배당표'!V94</x:f>
        <x:v>9</x:v>
      </x:c>
      <x:c r="N42" s="191"/>
      <x:c r="O42" s="188"/>
      <x:c r="P42" s="188"/>
      <x:c r="Q42" s="188"/>
      <x:c r="R42" s="184"/>
    </x:row>
    <x:row r="43" ht="17" customHeight="1">
      <x:c r="A43" s="176"/>
      <x:c r="B43" s="283"/>
      <x:c r="C43" s="283" t="str">
        <x:f>'2028 배당표'!C95</x:f>
        <x:v>융합</x:v>
      </x:c>
      <x:c r="D43" s="283" t="str">
        <x:f>'2028 배당표'!D95</x:f>
        <x:v>기후변화와 환경생태</x:v>
      </x:c>
      <x:c r="E43" s="190"/>
      <x:c r="F43" s="187"/>
      <x:c r="G43" s="284"/>
      <x:c r="H43" s="190"/>
      <x:c r="I43" s="187"/>
      <x:c r="J43" s="284"/>
      <x:c r="K43" s="190" t="n">
        <x:f>'2028 배당표'!T95</x:f>
        <x:v>3</x:v>
      </x:c>
      <x:c r="L43" s="187" t="n">
        <x:f>'2028 배당표'!U95</x:f>
        <x:v>7</x:v>
      </x:c>
      <x:c r="M43" s="284" t="n">
        <x:f>'2028 배당표'!V95</x:f>
        <x:v>21</x:v>
      </x:c>
      <x:c r="N43" s="191"/>
      <x:c r="O43" s="188"/>
      <x:c r="P43" s="188"/>
      <x:c r="Q43" s="188"/>
      <x:c r="R43" s="184"/>
    </x:row>
    <x:row r="44" ht="17" customHeight="1">
      <x:c r="A44" s="176"/>
      <x:c r="B44" s="283"/>
      <x:c r="C44" s="283" t="str">
        <x:f>'2028 배당표'!C96</x:f>
        <x:v>융합</x:v>
      </x:c>
      <x:c r="D44" s="283" t="str">
        <x:f>'2028 배당표'!D96</x:f>
        <x:v>융합과학 탐구</x:v>
      </x:c>
      <x:c r="E44" s="190"/>
      <x:c r="F44" s="187"/>
      <x:c r="G44" s="284"/>
      <x:c r="H44" s="190"/>
      <x:c r="I44" s="187"/>
      <x:c r="J44" s="284"/>
      <x:c r="K44" s="190" t="n">
        <x:f>'2028 배당표'!T96</x:f>
        <x:v>3</x:v>
      </x:c>
      <x:c r="L44" s="187" t="n">
        <x:f>'2028 배당표'!U96</x:f>
        <x:v>3</x:v>
      </x:c>
      <x:c r="M44" s="284" t="n">
        <x:f>'2028 배당표'!V96</x:f>
        <x:v>9</x:v>
      </x:c>
      <x:c r="N44" s="191"/>
      <x:c r="O44" s="188"/>
      <x:c r="P44" s="188"/>
      <x:c r="Q44" s="188"/>
      <x:c r="R44" s="184"/>
    </x:row>
    <x:row r="45" ht="17" customHeight="1">
      <x:c r="A45" s="176"/>
      <x:c r="B45" s="300" t="str">
        <x:v>지구과학</x:v>
      </x:c>
      <x:c r="C45" s="295" t="str">
        <x:f>'2028 배당표'!C98</x:f>
        <x:v>자체</x:v>
      </x:c>
      <x:c r="D45" s="295" t="str">
        <x:f>'2028 배당표'!D98</x:f>
        <x:v>지구과학</x:v>
      </x:c>
      <x:c r="E45" s="203"/>
      <x:c r="F45" s="204"/>
      <x:c r="G45" s="296"/>
      <x:c r="H45" s="203" t="n">
        <x:f>'2028 배당표'!N98</x:f>
        <x:v>3</x:v>
      </x:c>
      <x:c r="I45" s="204" t="n">
        <x:f>'2028 배당표'!O98</x:f>
        <x:v>4</x:v>
      </x:c>
      <x:c r="J45" s="296" t="n">
        <x:f>'2028 배당표'!P98</x:f>
        <x:v>12</x:v>
      </x:c>
      <x:c r="K45" s="203"/>
      <x:c r="L45" s="204"/>
      <x:c r="M45" s="296"/>
      <x:c r="N45" s="297" t="n">
        <x:f>'2028 배당표'!W97</x:f>
        <x:v>3</x:v>
      </x:c>
      <x:c r="O45" s="298" t="n">
        <x:f>'2028 배당표'!AB97</x:f>
        <x:v>15</x:v>
      </x:c>
      <x:c r="P45" s="298" t="n">
        <x:f>'2028 배당표'!AC97</x:f>
        <x:v>43</x:v>
      </x:c>
      <x:c r="Q45" s="298" t="n">
        <x:f>'2028 배당표'!AD97</x:f>
        <x:v>58</x:v>
      </x:c>
      <x:c r="R45" s="299" t="n">
        <x:f>'2028 배당표'!AE97</x:f>
        <x:v>19.333333333333332</x:v>
      </x:c>
    </x:row>
    <x:row r="46" ht="17" customHeight="1">
      <x:c r="A46" s="176"/>
      <x:c r="B46" s="283"/>
      <x:c r="C46" s="283" t="str">
        <x:f>'2028 배당표'!C100</x:f>
        <x:v>자체</x:v>
      </x:c>
      <x:c r="D46" s="283" t="str">
        <x:f>'2028 배당표'!D100</x:f>
        <x:v>행성우주과학</x:v>
      </x:c>
      <x:c r="E46" s="190"/>
      <x:c r="F46" s="187"/>
      <x:c r="G46" s="284"/>
      <x:c r="H46" s="190" t="n">
        <x:f>'2028 배당표'!N100</x:f>
        <x:v>3</x:v>
      </x:c>
      <x:c r="I46" s="187" t="n">
        <x:f>'2028 배당표'!O100</x:f>
        <x:v>1</x:v>
      </x:c>
      <x:c r="J46" s="284" t="n">
        <x:f>'2028 배당표'!P100</x:f>
        <x:v>3</x:v>
      </x:c>
      <x:c r="K46" s="190"/>
      <x:c r="L46" s="187"/>
      <x:c r="M46" s="284"/>
      <x:c r="N46" s="191"/>
      <x:c r="O46" s="188"/>
      <x:c r="P46" s="188"/>
      <x:c r="Q46" s="188"/>
      <x:c r="R46" s="184"/>
    </x:row>
    <x:row r="47" ht="17" customHeight="1">
      <x:c r="A47" s="176"/>
      <x:c r="B47" s="283"/>
      <x:c r="C47" s="283" t="str">
        <x:f>'2028 배당표'!C103</x:f>
        <x:v>통합</x:v>
      </x:c>
      <x:c r="D47" s="283" t="str">
        <x:f>'2028 배당표'!D103</x:f>
        <x:v>통합과학2</x:v>
      </x:c>
      <x:c r="E47" s="190" t="n">
        <x:f>'2028 배당표'!H103</x:f>
        <x:v>4</x:v>
      </x:c>
      <x:c r="F47" s="187" t="n">
        <x:f>'2028 배당표'!I103</x:f>
        <x:v>1</x:v>
      </x:c>
      <x:c r="G47" s="284" t="n">
        <x:f>'2028 배당표'!J103</x:f>
        <x:v>4</x:v>
      </x:c>
      <x:c r="H47" s="190"/>
      <x:c r="I47" s="187"/>
      <x:c r="J47" s="284"/>
      <x:c r="K47" s="190"/>
      <x:c r="L47" s="187"/>
      <x:c r="M47" s="284"/>
      <x:c r="N47" s="191"/>
      <x:c r="O47" s="188"/>
      <x:c r="P47" s="188"/>
      <x:c r="Q47" s="188"/>
      <x:c r="R47" s="184"/>
    </x:row>
    <x:row r="48" ht="17" customHeight="1">
      <x:c r="A48" s="176"/>
      <x:c r="B48" s="283"/>
      <x:c r="C48" s="283" t="str">
        <x:f>'2028 배당표'!C104</x:f>
        <x:v>실험</x:v>
      </x:c>
      <x:c r="D48" s="283" t="str">
        <x:f>'2028 배당표'!D104</x:f>
        <x:v>과학탐구실험2</x:v>
      </x:c>
      <x:c r="E48" s="190" t="n">
        <x:f>'2028 배당표'!H104</x:f>
        <x:v>1</x:v>
      </x:c>
      <x:c r="F48" s="187" t="n">
        <x:f>'2028 배당표'!I104</x:f>
        <x:v>3</x:v>
      </x:c>
      <x:c r="G48" s="284" t="n">
        <x:f>'2028 배당표'!J104</x:f>
        <x:v>3</x:v>
      </x:c>
      <x:c r="H48" s="190"/>
      <x:c r="I48" s="187"/>
      <x:c r="J48" s="284"/>
      <x:c r="K48" s="190"/>
      <x:c r="L48" s="187"/>
      <x:c r="M48" s="284"/>
      <x:c r="N48" s="191"/>
      <x:c r="O48" s="188"/>
      <x:c r="P48" s="188"/>
      <x:c r="Q48" s="188"/>
      <x:c r="R48" s="184"/>
    </x:row>
    <x:row r="49" ht="17" customHeight="1">
      <x:c r="A49" s="176"/>
      <x:c r="B49" s="283"/>
      <x:c r="C49" s="283" t="str">
        <x:f>'2028 배당표'!C105</x:f>
        <x:v>융합</x:v>
      </x:c>
      <x:c r="D49" s="283" t="str">
        <x:f>'2028 배당표'!D105</x:f>
        <x:v>과학의 역사와 문화</x:v>
      </x:c>
      <x:c r="E49" s="190"/>
      <x:c r="F49" s="187"/>
      <x:c r="G49" s="284"/>
      <x:c r="H49" s="190"/>
      <x:c r="I49" s="187"/>
      <x:c r="J49" s="284"/>
      <x:c r="K49" s="190" t="n">
        <x:f>'2028 배당표'!T105</x:f>
        <x:v>3</x:v>
      </x:c>
      <x:c r="L49" s="187" t="n">
        <x:f>'2028 배당표'!U105</x:f>
        <x:v>3</x:v>
      </x:c>
      <x:c r="M49" s="284" t="n">
        <x:f>'2028 배당표'!V105</x:f>
        <x:v>9</x:v>
      </x:c>
      <x:c r="N49" s="191"/>
      <x:c r="O49" s="188"/>
      <x:c r="P49" s="188"/>
      <x:c r="Q49" s="188"/>
      <x:c r="R49" s="184"/>
    </x:row>
    <x:row r="50" ht="17" customHeight="1">
      <x:c r="A50" s="176"/>
      <x:c r="B50" s="283"/>
      <x:c r="C50" s="283" t="str">
        <x:f>'2028 배당표'!C106</x:f>
        <x:v>융합</x:v>
      </x:c>
      <x:c r="D50" s="283" t="str">
        <x:f>'2028 배당표'!D106</x:f>
        <x:v>기후변화와 환경생태</x:v>
      </x:c>
      <x:c r="E50" s="190"/>
      <x:c r="F50" s="187"/>
      <x:c r="G50" s="284"/>
      <x:c r="H50" s="190"/>
      <x:c r="I50" s="187"/>
      <x:c r="J50" s="284"/>
      <x:c r="K50" s="190" t="n">
        <x:f>'2028 배당표'!T106</x:f>
        <x:v>3</x:v>
      </x:c>
      <x:c r="L50" s="187" t="n">
        <x:f>'2028 배당표'!U106</x:f>
        <x:v>6</x:v>
      </x:c>
      <x:c r="M50" s="284" t="n">
        <x:f>'2028 배당표'!V106</x:f>
        <x:v>18</x:v>
      </x:c>
      <x:c r="N50" s="191"/>
      <x:c r="O50" s="188"/>
      <x:c r="P50" s="188"/>
      <x:c r="Q50" s="188"/>
      <x:c r="R50" s="184"/>
    </x:row>
    <x:row r="51" ht="17" customHeight="1">
      <x:c r="A51" s="176"/>
      <x:c r="B51" s="283"/>
      <x:c r="C51" s="283" t="str">
        <x:f>'2028 배당표'!C107</x:f>
        <x:v>융합</x:v>
      </x:c>
      <x:c r="D51" s="283" t="str">
        <x:f>'2028 배당표'!D107</x:f>
        <x:v>융합과학 탐구</x:v>
      </x:c>
      <x:c r="E51" s="190"/>
      <x:c r="F51" s="187"/>
      <x:c r="G51" s="284"/>
      <x:c r="H51" s="190"/>
      <x:c r="I51" s="187"/>
      <x:c r="J51" s="284"/>
      <x:c r="K51" s="190" t="n">
        <x:f>'2028 배당표'!T107</x:f>
        <x:v>3</x:v>
      </x:c>
      <x:c r="L51" s="187" t="n">
        <x:f>'2028 배당표'!U107</x:f>
        <x:v>3</x:v>
      </x:c>
      <x:c r="M51" s="284" t="n">
        <x:f>'2028 배당표'!V107</x:f>
        <x:v>9</x:v>
      </x:c>
      <x:c r="N51" s="191"/>
      <x:c r="O51" s="188"/>
      <x:c r="P51" s="188"/>
      <x:c r="Q51" s="188"/>
      <x:c r="R51" s="184"/>
    </x:row>
    <x:row r="52" ht="18" customHeight="1">
      <x:c r="A52" s="176"/>
      <x:c r="B52" s="305" t="str">
        <x:v>과학 전체</x:v>
      </x:c>
      <x:c r="C52" s="304"/>
      <x:c r="D52" s="304"/>
      <x:c r="E52" s="304"/>
      <x:c r="F52" s="304"/>
      <x:c r="G52" s="304" t="n">
        <x:f>SUM(G29:G51)</x:f>
        <x:v>60</x:v>
      </x:c>
      <x:c r="H52" s="304"/>
      <x:c r="I52" s="304"/>
      <x:c r="J52" s="304" t="n">
        <x:f>SUM(J29:J51)</x:f>
        <x:v>54</x:v>
      </x:c>
      <x:c r="K52" s="304"/>
      <x:c r="L52" s="304"/>
      <x:c r="M52" s="304" t="n">
        <x:f>SUM(M29:M51)</x:f>
        <x:v>99</x:v>
      </x:c>
      <x:c r="N52" s="304" t="n">
        <x:f>'2028 배당표'!W109</x:f>
        <x:v>11</x:v>
      </x:c>
      <x:c r="O52" s="304" t="n">
        <x:f>'2028 배당표'!AB109</x:f>
        <x:v>54</x:v>
      </x:c>
      <x:c r="P52" s="304" t="n">
        <x:f>'2028 배당표'!AC109</x:f>
        <x:v>159</x:v>
      </x:c>
      <x:c r="Q52" s="304" t="n">
        <x:f>'2028 배당표'!AD109</x:f>
        <x:v>213</x:v>
      </x:c>
      <x:c r="R52" s="306" t="n">
        <x:f>'2028 배당표'!AE109</x:f>
        <x:v>19.363636363636363</x:v>
      </x:c>
    </x:row>
    <x:row r="53" ht="12" customHeight="1">
      <x:c r="A53" s="176"/>
      <x:c r="B53" s="216" t="str">
        <x:v>윤리와 사상 99명·택3 선택비율로 보정한 가정안. 2027 입학생부터 12학급, 교사 수는 2026학년도 정원 참고값입니다.</x:v>
      </x:c>
      <x:c r="C53" s="216"/>
      <x:c r="D53" s="216"/>
      <x:c r="E53" s="216"/>
      <x:c r="F53" s="216"/>
      <x:c r="G53" s="216"/>
      <x:c r="H53" s="216"/>
      <x:c r="I53" s="216"/>
      <x:c r="J53" s="216"/>
      <x:c r="K53" s="216"/>
      <x:c r="L53" s="216"/>
      <x:c r="M53" s="216"/>
      <x:c r="N53" s="216"/>
      <x:c r="O53" s="216"/>
      <x:c r="P53" s="216"/>
      <x:c r="Q53" s="216"/>
      <x:c r="R53" s="216"/>
    </x:row>
    <x:row r="54" ht="12" customHeight="1">
      <x:c r="A54" s="176"/>
      <x:c r="B54" s="216" t="str">
        <x:f>IF(SUM(G52,J52,M52)=Q52,"교육과정상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54" s="216"/>
      <x:c r="D54" s="216"/>
      <x:c r="E54" s="216"/>
      <x:c r="F54" s="216"/>
      <x:c r="G54" s="216"/>
      <x:c r="H54" s="216"/>
      <x:c r="I54" s="216"/>
      <x:c r="J54" s="216"/>
      <x:c r="K54" s="216"/>
      <x:c r="L54" s="216"/>
      <x:c r="M54" s="216"/>
      <x:c r="N54" s="216"/>
      <x:c r="O54" s="216"/>
      <x:c r="P54" s="216"/>
      <x:c r="Q54" s="216"/>
      <x:c r="R54" s="216"/>
    </x:row>
    <x:row r="55" ht="17" customHeight="1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</x:row>
    <x:row r="56" ht="17" customHeight="1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</x:row>
    <x:row r="57" ht="17" customHeight="1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</x:row>
    <x:row r="58" ht="17" customHeight="1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</x:row>
    <x:row r="59" ht="17" customHeight="1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</x:row>
    <x:row r="60" ht="17" customHeight="1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</x:row>
    <x:row r="61" ht="17" customHeight="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</x:row>
    <x:row r="62" ht="17" customHeight="1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</x:row>
    <x:row r="63" ht="17" customHeight="1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</x:row>
    <x:row r="64" ht="17" customHeight="1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</x:row>
    <x:row r="65" ht="17" customHeight="1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</x:row>
    <x:row r="66" ht="17" customHeight="1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</x:row>
    <x:row r="67" ht="17" customHeight="1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</x:row>
    <x:row r="68" ht="17" customHeight="1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</x:row>
    <x:row r="69" ht="17" customHeight="1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</x:row>
    <x:row r="70" ht="17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</x:row>
    <x:row r="71" ht="17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</x:row>
    <x:row r="72" ht="17" customHeight="1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</x:row>
    <x:row r="73" ht="17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</x:row>
    <x:row r="74" ht="17" customHeight="1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</x:row>
    <x:row r="75" ht="17" customHeight="1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</x:row>
    <x:row r="76" ht="17" customHeight="1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</x:row>
    <x:row r="77" ht="17" customHeight="1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</x:row>
    <x:row r="78" ht="17" customHeight="1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</x:row>
    <x:row r="79" ht="17" customHeight="1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20:D20"/>
    <x:mergeCell ref="B21:R21"/>
    <x:mergeCell ref="B22:R22"/>
    <x:mergeCell ref="B25:R25"/>
    <x:mergeCell ref="B26:R26"/>
    <x:mergeCell ref="B27:B28"/>
    <x:mergeCell ref="C27:C28"/>
    <x:mergeCell ref="D27:D28"/>
    <x:mergeCell ref="N27:N28"/>
    <x:mergeCell ref="O27:O28"/>
    <x:mergeCell ref="P27:P28"/>
    <x:mergeCell ref="Q27:Q28"/>
    <x:mergeCell ref="R27:R28"/>
    <x:mergeCell ref="E27:G27"/>
    <x:mergeCell ref="H27:J27"/>
    <x:mergeCell ref="K27:M27"/>
    <x:mergeCell ref="B52:D52"/>
    <x:mergeCell ref="B53:R53"/>
    <x:mergeCell ref="B54:R54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5.xml><?xml version="1.0" encoding="utf-8"?>
<x:worksheet xmlns:x="http://schemas.openxmlformats.org/spreadsheetml/2006/main">
  <x:sheetPr>
    <x:tabColor rgb="FF305D82"/>
    <x:pageSetUpPr fitToPage="0" autoPageBreaks="0"/>
  </x:sheetPr>
  <x:sheetViews>
    <x:sheetView showGridLines="0" workbookViewId="0" tabSelected="0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2029학년도 사회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(12학급)</x:v>
      </x:c>
      <x:c r="I4" s="282"/>
      <x:c r="J4" s="282"/>
      <x:c r="K4" s="282" t="str">
        <x:v>3학년 (12학급)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역사</x:v>
      </x:c>
      <x:c r="C6" s="295" t="str">
        <x:f>'2029 배당표'!C14</x:f>
        <x:v>자체</x:v>
      </x:c>
      <x:c r="D6" s="295" t="str">
        <x:f>'2029 배당표'!D14</x:f>
        <x:v>한국사1</x:v>
      </x:c>
      <x:c r="E6" s="203" t="n">
        <x:f>'2029 배당표'!E14</x:f>
        <x:v>3</x:v>
      </x:c>
      <x:c r="F6" s="204" t="n">
        <x:f>'2029 배당표'!F14</x:f>
        <x:v>12</x:v>
      </x:c>
      <x:c r="G6" s="296" t="n">
        <x:f>'2029 배당표'!G14</x:f>
        <x:v>36</x:v>
      </x:c>
      <x:c r="H6" s="203"/>
      <x:c r="I6" s="204"/>
      <x:c r="J6" s="296"/>
      <x:c r="K6" s="203"/>
      <x:c r="L6" s="204"/>
      <x:c r="M6" s="296"/>
      <x:c r="N6" s="297" t="n">
        <x:f>'2029 배당표'!W13</x:f>
        <x:v>3</x:v>
      </x:c>
      <x:c r="O6" s="298" t="n">
        <x:f>'2029 배당표'!X13</x:f>
        <x:v>45</x:v>
      </x:c>
      <x:c r="P6" s="298" t="n">
        <x:f>'2029 배당표'!Y13</x:f>
        <x:v>15</x:v>
      </x:c>
      <x:c r="Q6" s="298" t="n">
        <x:f>'2029 배당표'!Z13</x:f>
        <x:v>60</x:v>
      </x:c>
      <x:c r="R6" s="299" t="n">
        <x:f>'2029 배당표'!AA13</x:f>
        <x:v>20</x:v>
      </x:c>
    </x:row>
    <x:row r="7" ht="17" customHeight="1">
      <x:c r="A7" s="176"/>
      <x:c r="B7" s="283"/>
      <x:c r="C7" s="283" t="str">
        <x:f>'2029 배당표'!C15</x:f>
        <x:v>자체</x:v>
      </x:c>
      <x:c r="D7" s="283" t="str">
        <x:f>'2029 배당표'!D15</x:f>
        <x:v>세계사</x:v>
      </x:c>
      <x:c r="E7" s="190"/>
      <x:c r="F7" s="187"/>
      <x:c r="G7" s="284"/>
      <x:c r="H7" s="190" t="n">
        <x:f>'2029 배당표'!K15</x:f>
        <x:v>3</x:v>
      </x:c>
      <x:c r="I7" s="187" t="n">
        <x:f>'2029 배당표'!L15</x:f>
        <x:v>3</x:v>
      </x:c>
      <x:c r="J7" s="284" t="n">
        <x:f>'2029 배당표'!M15</x:f>
        <x:v>9</x:v>
      </x:c>
      <x:c r="K7" s="190"/>
      <x:c r="L7" s="187"/>
      <x:c r="M7" s="284"/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'2029 배당표'!C19</x:f>
        <x:v>융합</x:v>
      </x:c>
      <x:c r="D8" s="283" t="str">
        <x:f>'2029 배당표'!D19</x:f>
        <x:v>역사로 탐구하는 현대 세계</x:v>
      </x:c>
      <x:c r="E8" s="190"/>
      <x:c r="F8" s="187"/>
      <x:c r="G8" s="284"/>
      <x:c r="H8" s="190"/>
      <x:c r="I8" s="187"/>
      <x:c r="J8" s="284"/>
      <x:c r="K8" s="190" t="n">
        <x:f>'2029 배당표'!Q19</x:f>
        <x:v>3</x:v>
      </x:c>
      <x:c r="L8" s="187" t="n">
        <x:f>'2029 배당표'!R19</x:f>
        <x:v>5</x:v>
      </x:c>
      <x:c r="M8" s="284" t="n">
        <x:f>'2029 배당표'!S19</x:f>
        <x:v>15</x:v>
      </x:c>
      <x:c r="N8" s="191"/>
      <x:c r="O8" s="188"/>
      <x:c r="P8" s="188"/>
      <x:c r="Q8" s="188"/>
      <x:c r="R8" s="184"/>
    </x:row>
    <x:row r="9" ht="17" customHeight="1">
      <x:c r="A9" s="176"/>
      <x:c r="B9" s="300" t="str">
        <x:v>일반사회</x:v>
      </x:c>
      <x:c r="C9" s="295" t="str">
        <x:f>'2029 배당표'!C25</x:f>
        <x:v>자체</x:v>
      </x:c>
      <x:c r="D9" s="295" t="str">
        <x:f>'2029 배당표'!D25</x:f>
        <x:v>사회와 문화</x:v>
      </x:c>
      <x:c r="E9" s="203"/>
      <x:c r="F9" s="204"/>
      <x:c r="G9" s="296"/>
      <x:c r="H9" s="203" t="n">
        <x:f>'2029 배당표'!K25</x:f>
        <x:v>3</x:v>
      </x:c>
      <x:c r="I9" s="204" t="n">
        <x:f>'2029 배당표'!L25</x:f>
        <x:v>6</x:v>
      </x:c>
      <x:c r="J9" s="296" t="n">
        <x:f>'2029 배당표'!M25</x:f>
        <x:v>18</x:v>
      </x:c>
      <x:c r="K9" s="203"/>
      <x:c r="L9" s="204"/>
      <x:c r="M9" s="296"/>
      <x:c r="N9" s="297" t="n">
        <x:f>'2029 배당표'!W24</x:f>
        <x:v>4</x:v>
      </x:c>
      <x:c r="O9" s="298" t="n">
        <x:f>'2029 배당표'!X24</x:f>
        <x:v>51</x:v>
      </x:c>
      <x:c r="P9" s="298" t="n">
        <x:f>'2029 배당표'!Y24</x:f>
        <x:v>20</x:v>
      </x:c>
      <x:c r="Q9" s="298" t="n">
        <x:f>'2029 배당표'!Z24</x:f>
        <x:v>71</x:v>
      </x:c>
      <x:c r="R9" s="299" t="n">
        <x:f>'2029 배당표'!AA24</x:f>
        <x:v>17.75</x:v>
      </x:c>
    </x:row>
    <x:row r="10" ht="17" customHeight="1">
      <x:c r="A10" s="176"/>
      <x:c r="B10" s="283"/>
      <x:c r="C10" s="283" t="str">
        <x:f>'2029 배당표'!C26</x:f>
        <x:v>자체</x:v>
      </x:c>
      <x:c r="D10" s="283" t="str">
        <x:f>'2029 배당표'!D26</x:f>
        <x:v>경제</x:v>
      </x:c>
      <x:c r="E10" s="190"/>
      <x:c r="F10" s="187"/>
      <x:c r="G10" s="284"/>
      <x:c r="H10" s="190"/>
      <x:c r="I10" s="187"/>
      <x:c r="J10" s="284"/>
      <x:c r="K10" s="190" t="n">
        <x:f>'2029 배당표'!Q26</x:f>
        <x:v>3</x:v>
      </x:c>
      <x:c r="L10" s="187" t="n">
        <x:f>'2029 배당표'!R26</x:f>
        <x:v>4</x:v>
      </x:c>
      <x:c r="M10" s="284" t="n">
        <x:f>'2029 배당표'!S26</x:f>
        <x:v>12</x:v>
      </x:c>
      <x:c r="N10" s="191"/>
      <x:c r="O10" s="188"/>
      <x:c r="P10" s="188"/>
      <x:c r="Q10" s="188"/>
      <x:c r="R10" s="184"/>
    </x:row>
    <x:row r="11" ht="17" customHeight="1">
      <x:c r="A11" s="176"/>
      <x:c r="B11" s="283"/>
      <x:c r="C11" s="283" t="str">
        <x:f>'2029 배당표'!C27</x:f>
        <x:v>자체</x:v>
      </x:c>
      <x:c r="D11" s="283" t="str">
        <x:f>'2029 배당표'!D27</x:f>
        <x:v>국제 관계의 이해</x:v>
      </x:c>
      <x:c r="E11" s="190"/>
      <x:c r="F11" s="187"/>
      <x:c r="G11" s="284"/>
      <x:c r="H11" s="190"/>
      <x:c r="I11" s="187"/>
      <x:c r="J11" s="284"/>
      <x:c r="K11" s="190" t="n">
        <x:f>'2029 배당표'!Q27</x:f>
        <x:v>3</x:v>
      </x:c>
      <x:c r="L11" s="187" t="n">
        <x:f>'2029 배당표'!R27</x:f>
        <x:v>7</x:v>
      </x:c>
      <x:c r="M11" s="284" t="n">
        <x:f>'2029 배당표'!S27</x:f>
        <x:v>21</x:v>
      </x:c>
      <x:c r="N11" s="191"/>
      <x:c r="O11" s="188"/>
      <x:c r="P11" s="188"/>
      <x:c r="Q11" s="188"/>
      <x:c r="R11" s="184"/>
    </x:row>
    <x:row r="12" ht="17" customHeight="1">
      <x:c r="A12" s="176"/>
      <x:c r="B12" s="283"/>
      <x:c r="C12" s="283" t="str">
        <x:f>'2029 배당표'!C30</x:f>
        <x:v>통합</x:v>
      </x:c>
      <x:c r="D12" s="283" t="str">
        <x:f>'2029 배당표'!D30</x:f>
        <x:v>통합사회1</x:v>
      </x:c>
      <x:c r="E12" s="190" t="n">
        <x:f>'2029 배당표'!E30</x:f>
        <x:v>4</x:v>
      </x:c>
      <x:c r="F12" s="187" t="n">
        <x:f>'2029 배당표'!F30</x:f>
        <x:v>5</x:v>
      </x:c>
      <x:c r="G12" s="284" t="n">
        <x:f>'2029 배당표'!G30</x:f>
        <x:v>20</x:v>
      </x:c>
      <x:c r="H12" s="190"/>
      <x:c r="I12" s="187"/>
      <x:c r="J12" s="284"/>
      <x:c r="K12" s="190"/>
      <x:c r="L12" s="187"/>
      <x:c r="M12" s="284"/>
      <x:c r="N12" s="191"/>
      <x:c r="O12" s="188"/>
      <x:c r="P12" s="188"/>
      <x:c r="Q12" s="188"/>
      <x:c r="R12" s="184"/>
    </x:row>
    <x:row r="13" ht="17" customHeight="1">
      <x:c r="A13" s="176"/>
      <x:c r="B13" s="300" t="str">
        <x:v>지리</x:v>
      </x:c>
      <x:c r="C13" s="295" t="str">
        <x:f>'2029 배당표'!C37</x:f>
        <x:v>자체</x:v>
      </x:c>
      <x:c r="D13" s="295" t="str">
        <x:f>'2029 배당표'!D37</x:f>
        <x:v>세계시민과 지리</x:v>
      </x:c>
      <x:c r="E13" s="203"/>
      <x:c r="F13" s="204"/>
      <x:c r="G13" s="296"/>
      <x:c r="H13" s="203" t="n">
        <x:f>'2029 배당표'!K37</x:f>
        <x:v>3</x:v>
      </x:c>
      <x:c r="I13" s="204" t="n">
        <x:f>'2029 배당표'!L37</x:f>
        <x:v>3</x:v>
      </x:c>
      <x:c r="J13" s="296" t="n">
        <x:f>'2029 배당표'!M37</x:f>
        <x:v>9</x:v>
      </x:c>
      <x:c r="K13" s="203"/>
      <x:c r="L13" s="204"/>
      <x:c r="M13" s="296"/>
      <x:c r="N13" s="297" t="n">
        <x:f>'2029 배당표'!W36</x:f>
        <x:v>2</x:v>
      </x:c>
      <x:c r="O13" s="298" t="n">
        <x:f>'2029 배당표'!X36</x:f>
        <x:v>30</x:v>
      </x:c>
      <x:c r="P13" s="298" t="n">
        <x:f>'2029 배당표'!Y36</x:f>
        <x:v>4</x:v>
      </x:c>
      <x:c r="Q13" s="298" t="n">
        <x:f>'2029 배당표'!Z36</x:f>
        <x:v>34</x:v>
      </x:c>
      <x:c r="R13" s="299" t="n">
        <x:f>'2029 배당표'!AA36</x:f>
        <x:v>17</x:v>
      </x:c>
    </x:row>
    <x:row r="14" ht="17" customHeight="1">
      <x:c r="A14" s="176"/>
      <x:c r="B14" s="283"/>
      <x:c r="C14" s="283" t="str">
        <x:f>'2029 배당표'!C38</x:f>
        <x:v>자체</x:v>
      </x:c>
      <x:c r="D14" s="283" t="str">
        <x:f>'2029 배당표'!D38</x:f>
        <x:v>도시의 미래 탐구</x:v>
      </x:c>
      <x:c r="E14" s="190"/>
      <x:c r="F14" s="187"/>
      <x:c r="G14" s="284"/>
      <x:c r="H14" s="190"/>
      <x:c r="I14" s="187"/>
      <x:c r="J14" s="284"/>
      <x:c r="K14" s="190" t="n">
        <x:f>'2029 배당표'!Q38</x:f>
        <x:v>3</x:v>
      </x:c>
      <x:c r="L14" s="187" t="n">
        <x:f>'2029 배당표'!R38</x:f>
        <x:v>7</x:v>
      </x:c>
      <x:c r="M14" s="284" t="n">
        <x:f>'2029 배당표'!S38</x:f>
        <x:v>21</x:v>
      </x:c>
      <x:c r="N14" s="191"/>
      <x:c r="O14" s="188"/>
      <x:c r="P14" s="188"/>
      <x:c r="Q14" s="188"/>
      <x:c r="R14" s="184"/>
    </x:row>
    <x:row r="15" ht="17" customHeight="1">
      <x:c r="A15" s="176"/>
      <x:c r="B15" s="283"/>
      <x:c r="C15" s="283" t="str">
        <x:f>'2029 배당표'!C40</x:f>
        <x:v>통합</x:v>
      </x:c>
      <x:c r="D15" s="283" t="str">
        <x:f>'2029 배당표'!D40</x:f>
        <x:v>통합사회1</x:v>
      </x:c>
      <x:c r="E15" s="190" t="n">
        <x:f>'2029 배당표'!E40</x:f>
        <x:v>4</x:v>
      </x:c>
      <x:c r="F15" s="187" t="n">
        <x:f>'2029 배당표'!F40</x:f>
        <x:v>1</x:v>
      </x:c>
      <x:c r="G15" s="284" t="n">
        <x:f>'2029 배당표'!G40</x:f>
        <x:v>4</x:v>
      </x:c>
      <x:c r="H15" s="190"/>
      <x:c r="I15" s="187"/>
      <x:c r="J15" s="284"/>
      <x:c r="K15" s="190"/>
      <x:c r="L15" s="187"/>
      <x:c r="M15" s="284"/>
      <x:c r="N15" s="191"/>
      <x:c r="O15" s="188"/>
      <x:c r="P15" s="188"/>
      <x:c r="Q15" s="188"/>
      <x:c r="R15" s="184"/>
    </x:row>
    <x:row r="16" ht="17" customHeight="1">
      <x:c r="A16" s="176"/>
      <x:c r="B16" s="300" t="str">
        <x:v>윤리</x:v>
      </x:c>
      <x:c r="C16" s="295" t="str">
        <x:f>'2029 배당표'!C47</x:f>
        <x:v>자체</x:v>
      </x:c>
      <x:c r="D16" s="295" t="str">
        <x:f>'2029 배당표'!D47</x:f>
        <x:v>현대사회와 윤리</x:v>
      </x:c>
      <x:c r="E16" s="203"/>
      <x:c r="F16" s="204"/>
      <x:c r="G16" s="296"/>
      <x:c r="H16" s="203" t="n">
        <x:f>'2029 배당표'!K47</x:f>
        <x:v>3</x:v>
      </x:c>
      <x:c r="I16" s="204" t="n">
        <x:f>'2029 배당표'!L47</x:f>
        <x:v>6</x:v>
      </x:c>
      <x:c r="J16" s="296" t="n">
        <x:f>'2029 배당표'!M47</x:f>
        <x:v>18</x:v>
      </x:c>
      <x:c r="K16" s="203"/>
      <x:c r="L16" s="204"/>
      <x:c r="M16" s="296"/>
      <x:c r="N16" s="297" t="n">
        <x:f>'2029 배당표'!W46</x:f>
        <x:v>3</x:v>
      </x:c>
      <x:c r="O16" s="298" t="n">
        <x:f>'2029 배당표'!X46</x:f>
        <x:v>30</x:v>
      </x:c>
      <x:c r="P16" s="298" t="n">
        <x:f>'2029 배당표'!Y46</x:f>
        <x:v>24</x:v>
      </x:c>
      <x:c r="Q16" s="298" t="n">
        <x:f>'2029 배당표'!Z46</x:f>
        <x:v>54</x:v>
      </x:c>
      <x:c r="R16" s="299" t="n">
        <x:f>'2029 배당표'!AA46</x:f>
        <x:v>18</x:v>
      </x:c>
    </x:row>
    <x:row r="17" ht="17" customHeight="1">
      <x:c r="A17" s="176"/>
      <x:c r="B17" s="283"/>
      <x:c r="C17" s="283" t="str">
        <x:f>'2029 배당표'!C48</x:f>
        <x:v>자체</x:v>
      </x:c>
      <x:c r="D17" s="283" t="str">
        <x:f>'2029 배당표'!D48</x:f>
        <x:v>인문학과 윤리</x:v>
      </x:c>
      <x:c r="E17" s="190"/>
      <x:c r="F17" s="187"/>
      <x:c r="G17" s="284"/>
      <x:c r="H17" s="190"/>
      <x:c r="I17" s="187"/>
      <x:c r="J17" s="284"/>
      <x:c r="K17" s="190" t="n">
        <x:f>'2029 배당표'!Q48</x:f>
        <x:v>3</x:v>
      </x:c>
      <x:c r="L17" s="187" t="n">
        <x:f>'2029 배당표'!R48</x:f>
        <x:v>4</x:v>
      </x:c>
      <x:c r="M17" s="284" t="n">
        <x:f>'2029 배당표'!S48</x:f>
        <x:v>12</x:v>
      </x:c>
      <x:c r="N17" s="191"/>
      <x:c r="O17" s="188"/>
      <x:c r="P17" s="188"/>
      <x:c r="Q17" s="188"/>
      <x:c r="R17" s="184"/>
    </x:row>
    <x:row r="18" ht="17" customHeight="1">
      <x:c r="A18" s="176"/>
      <x:c r="B18" s="283"/>
      <x:c r="C18" s="283" t="str">
        <x:f>'2029 배당표'!C50</x:f>
        <x:v>통합</x:v>
      </x:c>
      <x:c r="D18" s="283" t="str">
        <x:f>'2029 배당표'!D50</x:f>
        <x:v>통합사회1</x:v>
      </x:c>
      <x:c r="E18" s="190" t="n">
        <x:f>'2029 배당표'!E50</x:f>
        <x:v>4</x:v>
      </x:c>
      <x:c r="F18" s="187" t="n">
        <x:f>'2029 배당표'!F50</x:f>
        <x:v>6</x:v>
      </x:c>
      <x:c r="G18" s="284" t="n">
        <x:f>'2029 배당표'!G50</x:f>
        <x:v>24</x:v>
      </x:c>
      <x:c r="H18" s="190"/>
      <x:c r="I18" s="187"/>
      <x:c r="J18" s="284"/>
      <x:c r="K18" s="190"/>
      <x:c r="L18" s="187"/>
      <x:c r="M18" s="284"/>
      <x:c r="N18" s="191"/>
      <x:c r="O18" s="188"/>
      <x:c r="P18" s="188"/>
      <x:c r="Q18" s="188"/>
      <x:c r="R18" s="184"/>
    </x:row>
    <x:row r="19" ht="18" customHeight="1">
      <x:c r="A19" s="176"/>
      <x:c r="B19" s="305" t="str">
        <x:v>사회 전체</x:v>
      </x:c>
      <x:c r="C19" s="304"/>
      <x:c r="D19" s="304"/>
      <x:c r="E19" s="304"/>
      <x:c r="F19" s="304"/>
      <x:c r="G19" s="304" t="n">
        <x:f>SUM(G6:G18)</x:f>
        <x:v>84</x:v>
      </x:c>
      <x:c r="H19" s="304"/>
      <x:c r="I19" s="304"/>
      <x:c r="J19" s="304" t="n">
        <x:f>SUM(J6:J18)</x:f>
        <x:v>54</x:v>
      </x:c>
      <x:c r="K19" s="304"/>
      <x:c r="L19" s="304"/>
      <x:c r="M19" s="304" t="n">
        <x:f>SUM(M6:M18)</x:f>
        <x:v>81</x:v>
      </x:c>
      <x:c r="N19" s="304" t="n">
        <x:f>'2029 배당표'!W100</x:f>
        <x:v>12</x:v>
      </x:c>
      <x:c r="O19" s="304" t="n">
        <x:f>'2029 배당표'!X100</x:f>
        <x:v>156</x:v>
      </x:c>
      <x:c r="P19" s="304" t="n">
        <x:f>'2029 배당표'!Y100</x:f>
        <x:v>63</x:v>
      </x:c>
      <x:c r="Q19" s="304" t="n">
        <x:f>'2029 배당표'!Z100</x:f>
        <x:v>219</x:v>
      </x:c>
      <x:c r="R19" s="306" t="n">
        <x:f>'2029 배당표'!AA100</x:f>
        <x:v>18.25</x:v>
      </x:c>
    </x:row>
    <x:row r="20" ht="12" customHeight="1">
      <x:c r="A20" s="176"/>
      <x:c r="B20" s="216" t="str">
        <x:v>경제 57명·택3 선택비율로 보정한 가정안. 2027 입학생부터 12학급, 교사 수는 2026학년도 정원 참고값입니다.</x:v>
      </x:c>
      <x:c r="C20" s="216"/>
      <x:c r="D20" s="216"/>
      <x:c r="E20" s="216"/>
      <x:c r="F20" s="216"/>
      <x:c r="G20" s="216"/>
      <x:c r="H20" s="216"/>
      <x:c r="I20" s="216"/>
      <x:c r="J20" s="216"/>
      <x:c r="K20" s="216"/>
      <x:c r="L20" s="216"/>
      <x:c r="M20" s="216"/>
      <x:c r="N20" s="216"/>
      <x:c r="O20" s="216"/>
      <x:c r="P20" s="216"/>
      <x:c r="Q20" s="216"/>
      <x:c r="R20" s="216"/>
    </x:row>
    <x:row r="21" ht="12" customHeight="1">
      <x:c r="A21" s="176"/>
      <x:c r="B21" s="216" t="str">
        <x:f>IF(SUM(G19,J19,M19)=Q19,"교육과정상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1" s="216"/>
      <x:c r="D21" s="216"/>
      <x:c r="E21" s="216"/>
      <x:c r="F21" s="216"/>
      <x:c r="G21" s="216"/>
      <x:c r="H21" s="216"/>
      <x:c r="I21" s="216"/>
      <x:c r="J21" s="216"/>
      <x:c r="K21" s="216"/>
      <x:c r="L21" s="216"/>
      <x:c r="M21" s="216"/>
      <x:c r="N21" s="216"/>
      <x:c r="O21" s="216"/>
      <x:c r="P21" s="216"/>
      <x:c r="Q21" s="216"/>
      <x:c r="R21" s="216"/>
    </x:row>
    <x:row r="22" ht="17" customHeight="1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  <x:c r="R22" s="176"/>
    </x:row>
    <x:row r="23" ht="17" customHeight="1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</x:row>
    <x:row r="24" ht="24" customHeight="1">
      <x:c r="A24" s="176"/>
      <x:c r="B24" s="177" t="str">
        <x:v>2029학년도 사회 주간수업 배당표</x:v>
      </x:c>
      <x:c r="C24" s="177"/>
      <x:c r="D24" s="177"/>
      <x:c r="E24" s="177"/>
      <x:c r="F24" s="177"/>
      <x:c r="G24" s="177"/>
      <x:c r="H24" s="177"/>
      <x:c r="I24" s="177"/>
      <x:c r="J24" s="177"/>
      <x:c r="K24" s="177"/>
      <x:c r="L24" s="177"/>
      <x:c r="M24" s="177"/>
      <x:c r="N24" s="177"/>
      <x:c r="O24" s="177"/>
      <x:c r="P24" s="177"/>
      <x:c r="Q24" s="177"/>
      <x:c r="R24" s="177"/>
    </x:row>
    <x:row r="25" ht="16" customHeight="1">
      <x:c r="A25" s="176"/>
      <x:c r="B25" s="178" t="str">
        <x:v>1학기  /  변경안  /  단위: 시간·주, 반, 명</x:v>
      </x:c>
      <x:c r="C25" s="178"/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</x:row>
    <x:row r="26" ht="22" customHeight="1">
      <x:c r="A26" s="176"/>
      <x:c r="B26" s="282" t="str">
        <x:v>담당
교과</x:v>
      </x:c>
      <x:c r="C26" s="282" t="str">
        <x:v>구분</x:v>
      </x:c>
      <x:c r="D26" s="282" t="str">
        <x:v>과목명</x:v>
      </x:c>
      <x:c r="E26" s="282" t="str">
        <x:v>1학년 (12학급)</x:v>
      </x:c>
      <x:c r="F26" s="282"/>
      <x:c r="G26" s="282"/>
      <x:c r="H26" s="282" t="str">
        <x:v>2학년 (12학급)</x:v>
      </x:c>
      <x:c r="I26" s="282"/>
      <x:c r="J26" s="282"/>
      <x:c r="K26" s="282" t="str">
        <x:v>3학년 (12학급)</x:v>
      </x:c>
      <x:c r="L26" s="282"/>
      <x:c r="M26" s="282"/>
      <x:c r="N26" s="282" t="str">
        <x:v>교사
수</x:v>
      </x:c>
      <x:c r="O26" s="282" t="str">
        <x:v>자체
시수</x:v>
      </x:c>
      <x:c r="P26" s="282" t="str">
        <x:v>배정
시수</x:v>
      </x:c>
      <x:c r="Q26" s="282" t="str">
        <x:v>교과
총시수</x:v>
      </x:c>
      <x:c r="R26" s="282" t="str">
        <x:v>교사 1인
평균</x:v>
      </x:c>
    </x:row>
    <x:row r="27" ht="22" customHeight="1">
      <x:c r="A27" s="176"/>
      <x:c r="B27" s="282"/>
      <x:c r="C27" s="282"/>
      <x:c r="D27" s="282"/>
      <x:c r="E27" s="282" t="str">
        <x:v>반당
시수</x:v>
      </x:c>
      <x:c r="F27" s="282" t="str">
        <x:v>개설
반 수</x:v>
      </x:c>
      <x:c r="G27" s="282" t="str">
        <x:v>교과
시수</x:v>
      </x:c>
      <x:c r="H27" s="282" t="str">
        <x:v>반당
시수</x:v>
      </x:c>
      <x:c r="I27" s="282" t="str">
        <x:v>개설
반 수</x:v>
      </x:c>
      <x:c r="J27" s="282" t="str">
        <x:v>교과
시수</x:v>
      </x:c>
      <x:c r="K27" s="282" t="str">
        <x:v>반당
시수</x:v>
      </x:c>
      <x:c r="L27" s="282" t="str">
        <x:v>개설
반 수</x:v>
      </x:c>
      <x:c r="M27" s="282" t="str">
        <x:v>교과
시수</x:v>
      </x:c>
      <x:c r="N27" s="282"/>
      <x:c r="O27" s="282"/>
      <x:c r="P27" s="282"/>
      <x:c r="Q27" s="282"/>
      <x:c r="R27" s="282"/>
    </x:row>
    <x:row r="28" ht="17" customHeight="1">
      <x:c r="A28" s="176"/>
      <x:c r="B28" s="300" t="str">
        <x:v>역사</x:v>
      </x:c>
      <x:c r="C28" s="295" t="str">
        <x:f>'2029 배당표'!C111</x:f>
        <x:v>자체</x:v>
      </x:c>
      <x:c r="D28" s="295" t="str">
        <x:f>'2029 배당표'!D111</x:f>
        <x:v>한국사1</x:v>
      </x:c>
      <x:c r="E28" s="203" t="n">
        <x:f>'2029 배당표'!E111</x:f>
        <x:v>3</x:v>
      </x:c>
      <x:c r="F28" s="204" t="n">
        <x:f>'2029 배당표'!F111</x:f>
        <x:v>12</x:v>
      </x:c>
      <x:c r="G28" s="296" t="n">
        <x:f>'2029 배당표'!G111</x:f>
        <x:v>36</x:v>
      </x:c>
      <x:c r="H28" s="203"/>
      <x:c r="I28" s="204"/>
      <x:c r="J28" s="296"/>
      <x:c r="K28" s="203"/>
      <x:c r="L28" s="204"/>
      <x:c r="M28" s="296"/>
      <x:c r="N28" s="297" t="n">
        <x:f>'2029 배당표'!W110</x:f>
        <x:v>3</x:v>
      </x:c>
      <x:c r="O28" s="298" t="n">
        <x:f>'2029 배당표'!X110</x:f>
        <x:v>45</x:v>
      </x:c>
      <x:c r="P28" s="298" t="n">
        <x:f>'2029 배당표'!Y110</x:f>
        <x:v>15</x:v>
      </x:c>
      <x:c r="Q28" s="298" t="n">
        <x:f>'2029 배당표'!Z110</x:f>
        <x:v>60</x:v>
      </x:c>
      <x:c r="R28" s="299" t="n">
        <x:f>'2029 배당표'!AA110</x:f>
        <x:v>20</x:v>
      </x:c>
    </x:row>
    <x:row r="29" ht="17" customHeight="1">
      <x:c r="A29" s="176"/>
      <x:c r="B29" s="283"/>
      <x:c r="C29" s="283" t="str">
        <x:f>'2029 배당표'!C112</x:f>
        <x:v>자체</x:v>
      </x:c>
      <x:c r="D29" s="283" t="str">
        <x:f>'2029 배당표'!D112</x:f>
        <x:v>세계사</x:v>
      </x:c>
      <x:c r="E29" s="190"/>
      <x:c r="F29" s="187"/>
      <x:c r="G29" s="284"/>
      <x:c r="H29" s="190" t="n">
        <x:f>'2029 배당표'!K112</x:f>
        <x:v>3</x:v>
      </x:c>
      <x:c r="I29" s="187" t="n">
        <x:f>'2029 배당표'!L112</x:f>
        <x:v>3</x:v>
      </x:c>
      <x:c r="J29" s="284" t="n">
        <x:f>'2029 배당표'!M112</x:f>
        <x:v>9</x:v>
      </x:c>
      <x:c r="K29" s="190"/>
      <x:c r="L29" s="187"/>
      <x:c r="M29" s="284"/>
      <x:c r="N29" s="191"/>
      <x:c r="O29" s="188"/>
      <x:c r="P29" s="188"/>
      <x:c r="Q29" s="188"/>
      <x:c r="R29" s="184"/>
    </x:row>
    <x:row r="30" ht="17" customHeight="1">
      <x:c r="A30" s="176"/>
      <x:c r="B30" s="283"/>
      <x:c r="C30" s="283" t="str">
        <x:f>'2029 배당표'!C116</x:f>
        <x:v>융합</x:v>
      </x:c>
      <x:c r="D30" s="283" t="str">
        <x:f>'2029 배당표'!D116</x:f>
        <x:v>역사로 탐구하는 현대 세계</x:v>
      </x:c>
      <x:c r="E30" s="190"/>
      <x:c r="F30" s="187"/>
      <x:c r="G30" s="284"/>
      <x:c r="H30" s="190"/>
      <x:c r="I30" s="187"/>
      <x:c r="J30" s="284"/>
      <x:c r="K30" s="190" t="n">
        <x:f>'2029 배당표'!Q116</x:f>
        <x:v>3</x:v>
      </x:c>
      <x:c r="L30" s="187" t="n">
        <x:f>'2029 배당표'!R116</x:f>
        <x:v>5</x:v>
      </x:c>
      <x:c r="M30" s="284" t="n">
        <x:f>'2029 배당표'!S116</x:f>
        <x:v>15</x:v>
      </x:c>
      <x:c r="N30" s="191"/>
      <x:c r="O30" s="188"/>
      <x:c r="P30" s="188"/>
      <x:c r="Q30" s="188"/>
      <x:c r="R30" s="184"/>
    </x:row>
    <x:row r="31" ht="17" customHeight="1">
      <x:c r="A31" s="176"/>
      <x:c r="B31" s="300" t="str">
        <x:v>일반사회</x:v>
      </x:c>
      <x:c r="C31" s="295" t="str">
        <x:f>'2029 배당표'!C122</x:f>
        <x:v>자체</x:v>
      </x:c>
      <x:c r="D31" s="295" t="str">
        <x:f>'2029 배당표'!D122</x:f>
        <x:v>사회와 문화</x:v>
      </x:c>
      <x:c r="E31" s="203"/>
      <x:c r="F31" s="204"/>
      <x:c r="G31" s="296"/>
      <x:c r="H31" s="203" t="n">
        <x:f>'2029 배당표'!K122</x:f>
        <x:v>3</x:v>
      </x:c>
      <x:c r="I31" s="204" t="n">
        <x:f>'2029 배당표'!L122</x:f>
        <x:v>6</x:v>
      </x:c>
      <x:c r="J31" s="296" t="n">
        <x:f>'2029 배당표'!M122</x:f>
        <x:v>18</x:v>
      </x:c>
      <x:c r="K31" s="203"/>
      <x:c r="L31" s="204"/>
      <x:c r="M31" s="296"/>
      <x:c r="N31" s="297" t="n">
        <x:f>'2029 배당표'!W121</x:f>
        <x:v>4</x:v>
      </x:c>
      <x:c r="O31" s="298" t="n">
        <x:f>'2029 배당표'!X121</x:f>
        <x:v>48</x:v>
      </x:c>
      <x:c r="P31" s="298" t="n">
        <x:f>'2029 배당표'!Y121</x:f>
        <x:v>20</x:v>
      </x:c>
      <x:c r="Q31" s="298" t="n">
        <x:f>'2029 배당표'!Z121</x:f>
        <x:v>68</x:v>
      </x:c>
      <x:c r="R31" s="299" t="n">
        <x:f>'2029 배당표'!AA121</x:f>
        <x:v>17</x:v>
      </x:c>
    </x:row>
    <x:row r="32" ht="17" customHeight="1">
      <x:c r="A32" s="176"/>
      <x:c r="B32" s="283"/>
      <x:c r="C32" s="283" t="str">
        <x:f>'2029 배당표'!C123</x:f>
        <x:v>자체</x:v>
      </x:c>
      <x:c r="D32" s="283" t="str">
        <x:f>'2029 배당표'!D123</x:f>
        <x:v>경제</x:v>
      </x:c>
      <x:c r="E32" s="190"/>
      <x:c r="F32" s="187"/>
      <x:c r="G32" s="284"/>
      <x:c r="H32" s="190"/>
      <x:c r="I32" s="187"/>
      <x:c r="J32" s="284"/>
      <x:c r="K32" s="190" t="n">
        <x:f>'2029 배당표'!Q123</x:f>
        <x:v>3</x:v>
      </x:c>
      <x:c r="L32" s="187" t="n">
        <x:f>'2029 배당표'!R123</x:f>
        <x:v>4</x:v>
      </x:c>
      <x:c r="M32" s="284" t="n">
        <x:f>'2029 배당표'!S123</x:f>
        <x:v>12</x:v>
      </x:c>
      <x:c r="N32" s="191"/>
      <x:c r="O32" s="188"/>
      <x:c r="P32" s="188"/>
      <x:c r="Q32" s="188"/>
      <x:c r="R32" s="184"/>
    </x:row>
    <x:row r="33" ht="17" customHeight="1">
      <x:c r="A33" s="176"/>
      <x:c r="B33" s="283"/>
      <x:c r="C33" s="283" t="str">
        <x:f>'2029 배당표'!C124</x:f>
        <x:v>자체</x:v>
      </x:c>
      <x:c r="D33" s="283" t="str">
        <x:f>'2029 배당표'!D124</x:f>
        <x:v>국제 관계의 이해</x:v>
      </x:c>
      <x:c r="E33" s="190"/>
      <x:c r="F33" s="187"/>
      <x:c r="G33" s="284"/>
      <x:c r="H33" s="190"/>
      <x:c r="I33" s="187"/>
      <x:c r="J33" s="284"/>
      <x:c r="K33" s="190" t="n">
        <x:f>'2029 배당표'!Q124</x:f>
        <x:v>3</x:v>
      </x:c>
      <x:c r="L33" s="187" t="n">
        <x:f>'2029 배당표'!R124</x:f>
        <x:v>6</x:v>
      </x:c>
      <x:c r="M33" s="284" t="n">
        <x:f>'2029 배당표'!S124</x:f>
        <x:v>18</x:v>
      </x:c>
      <x:c r="N33" s="191"/>
      <x:c r="O33" s="188"/>
      <x:c r="P33" s="188"/>
      <x:c r="Q33" s="188"/>
      <x:c r="R33" s="184"/>
    </x:row>
    <x:row r="34" ht="17" customHeight="1">
      <x:c r="A34" s="176"/>
      <x:c r="B34" s="283"/>
      <x:c r="C34" s="283" t="str">
        <x:f>'2029 배당표'!C127</x:f>
        <x:v>통합</x:v>
      </x:c>
      <x:c r="D34" s="283" t="str">
        <x:f>'2029 배당표'!D127</x:f>
        <x:v>통합사회1</x:v>
      </x:c>
      <x:c r="E34" s="190" t="n">
        <x:f>'2029 배당표'!E127</x:f>
        <x:v>4</x:v>
      </x:c>
      <x:c r="F34" s="187" t="n">
        <x:f>'2029 배당표'!F127</x:f>
        <x:v>5</x:v>
      </x:c>
      <x:c r="G34" s="284" t="n">
        <x:f>'2029 배당표'!G127</x:f>
        <x:v>20</x:v>
      </x:c>
      <x:c r="H34" s="190"/>
      <x:c r="I34" s="187"/>
      <x:c r="J34" s="284"/>
      <x:c r="K34" s="190"/>
      <x:c r="L34" s="187"/>
      <x:c r="M34" s="284"/>
      <x:c r="N34" s="191"/>
      <x:c r="O34" s="188"/>
      <x:c r="P34" s="188"/>
      <x:c r="Q34" s="188"/>
      <x:c r="R34" s="184"/>
    </x:row>
    <x:row r="35" ht="17" customHeight="1">
      <x:c r="A35" s="176"/>
      <x:c r="B35" s="300" t="str">
        <x:v>지리</x:v>
      </x:c>
      <x:c r="C35" s="295" t="str">
        <x:f>'2029 배당표'!C134</x:f>
        <x:v>자체</x:v>
      </x:c>
      <x:c r="D35" s="295" t="str">
        <x:f>'2029 배당표'!D134</x:f>
        <x:v>세계시민과 지리</x:v>
      </x:c>
      <x:c r="E35" s="203"/>
      <x:c r="F35" s="204"/>
      <x:c r="G35" s="296"/>
      <x:c r="H35" s="203" t="n">
        <x:f>'2029 배당표'!K134</x:f>
        <x:v>3</x:v>
      </x:c>
      <x:c r="I35" s="204" t="n">
        <x:f>'2029 배당표'!L134</x:f>
        <x:v>3</x:v>
      </x:c>
      <x:c r="J35" s="296" t="n">
        <x:f>'2029 배당표'!M134</x:f>
        <x:v>9</x:v>
      </x:c>
      <x:c r="K35" s="203"/>
      <x:c r="L35" s="204"/>
      <x:c r="M35" s="296"/>
      <x:c r="N35" s="297" t="n">
        <x:f>'2029 배당표'!W133</x:f>
        <x:v>2</x:v>
      </x:c>
      <x:c r="O35" s="298" t="n">
        <x:f>'2029 배당표'!X133</x:f>
        <x:v>27</x:v>
      </x:c>
      <x:c r="P35" s="298" t="n">
        <x:f>'2029 배당표'!Y133</x:f>
        <x:v>8</x:v>
      </x:c>
      <x:c r="Q35" s="298" t="n">
        <x:f>'2029 배당표'!Z133</x:f>
        <x:v>35</x:v>
      </x:c>
      <x:c r="R35" s="299" t="n">
        <x:f>'2029 배당표'!AA133</x:f>
        <x:v>17.5</x:v>
      </x:c>
    </x:row>
    <x:row r="36" ht="17" customHeight="1">
      <x:c r="A36" s="176"/>
      <x:c r="B36" s="283"/>
      <x:c r="C36" s="283" t="str">
        <x:f>'2029 배당표'!C135</x:f>
        <x:v>자체</x:v>
      </x:c>
      <x:c r="D36" s="283" t="str">
        <x:f>'2029 배당표'!D135</x:f>
        <x:v>도시의 미래 탐구</x:v>
      </x:c>
      <x:c r="E36" s="190"/>
      <x:c r="F36" s="187"/>
      <x:c r="G36" s="284"/>
      <x:c r="H36" s="190"/>
      <x:c r="I36" s="187"/>
      <x:c r="J36" s="284"/>
      <x:c r="K36" s="190" t="n">
        <x:f>'2029 배당표'!Q135</x:f>
        <x:v>3</x:v>
      </x:c>
      <x:c r="L36" s="187" t="n">
        <x:f>'2029 배당표'!R135</x:f>
        <x:v>6</x:v>
      </x:c>
      <x:c r="M36" s="284" t="n">
        <x:f>'2029 배당표'!S135</x:f>
        <x:v>18</x:v>
      </x:c>
      <x:c r="N36" s="191"/>
      <x:c r="O36" s="188"/>
      <x:c r="P36" s="188"/>
      <x:c r="Q36" s="188"/>
      <x:c r="R36" s="184"/>
    </x:row>
    <x:row r="37" ht="17" customHeight="1">
      <x:c r="A37" s="176"/>
      <x:c r="B37" s="283"/>
      <x:c r="C37" s="283" t="str">
        <x:f>'2029 배당표'!C137</x:f>
        <x:v>통합</x:v>
      </x:c>
      <x:c r="D37" s="283" t="str">
        <x:f>'2029 배당표'!D137</x:f>
        <x:v>통합사회1</x:v>
      </x:c>
      <x:c r="E37" s="190" t="n">
        <x:f>'2029 배당표'!E137</x:f>
        <x:v>4</x:v>
      </x:c>
      <x:c r="F37" s="187" t="n">
        <x:f>'2029 배당표'!F137</x:f>
        <x:v>2</x:v>
      </x:c>
      <x:c r="G37" s="284" t="n">
        <x:f>'2029 배당표'!G137</x:f>
        <x:v>8</x:v>
      </x:c>
      <x:c r="H37" s="190"/>
      <x:c r="I37" s="187"/>
      <x:c r="J37" s="284"/>
      <x:c r="K37" s="190"/>
      <x:c r="L37" s="187"/>
      <x:c r="M37" s="284"/>
      <x:c r="N37" s="191"/>
      <x:c r="O37" s="188"/>
      <x:c r="P37" s="188"/>
      <x:c r="Q37" s="188"/>
      <x:c r="R37" s="184"/>
    </x:row>
    <x:row r="38" ht="17" customHeight="1">
      <x:c r="A38" s="176"/>
      <x:c r="B38" s="300" t="str">
        <x:v>윤리</x:v>
      </x:c>
      <x:c r="C38" s="295" t="str">
        <x:f>'2029 배당표'!C144</x:f>
        <x:v>자체</x:v>
      </x:c>
      <x:c r="D38" s="295" t="str">
        <x:f>'2029 배당표'!D144</x:f>
        <x:v>현대사회와 윤리</x:v>
      </x:c>
      <x:c r="E38" s="203"/>
      <x:c r="F38" s="204"/>
      <x:c r="G38" s="296"/>
      <x:c r="H38" s="203" t="n">
        <x:f>'2029 배당표'!K144</x:f>
        <x:v>3</x:v>
      </x:c>
      <x:c r="I38" s="204" t="n">
        <x:f>'2029 배당표'!L144</x:f>
        <x:v>6</x:v>
      </x:c>
      <x:c r="J38" s="296" t="n">
        <x:f>'2029 배당표'!M144</x:f>
        <x:v>18</x:v>
      </x:c>
      <x:c r="K38" s="203"/>
      <x:c r="L38" s="204"/>
      <x:c r="M38" s="296"/>
      <x:c r="N38" s="297" t="n">
        <x:f>'2029 배당표'!W143</x:f>
        <x:v>3</x:v>
      </x:c>
      <x:c r="O38" s="298" t="n">
        <x:f>'2029 배당표'!X143</x:f>
        <x:v>30</x:v>
      </x:c>
      <x:c r="P38" s="298" t="n">
        <x:f>'2029 배당표'!Y143</x:f>
        <x:v>20</x:v>
      </x:c>
      <x:c r="Q38" s="298" t="n">
        <x:f>'2029 배당표'!Z143</x:f>
        <x:v>50</x:v>
      </x:c>
      <x:c r="R38" s="299" t="n">
        <x:f>'2029 배당표'!AA143</x:f>
        <x:v>16.666666666666668</x:v>
      </x:c>
    </x:row>
    <x:row r="39" ht="17" customHeight="1">
      <x:c r="A39" s="176"/>
      <x:c r="B39" s="283"/>
      <x:c r="C39" s="283" t="str">
        <x:f>'2029 배당표'!C145</x:f>
        <x:v>자체</x:v>
      </x:c>
      <x:c r="D39" s="283" t="str">
        <x:f>'2029 배당표'!D145</x:f>
        <x:v>인문학과 윤리</x:v>
      </x:c>
      <x:c r="E39" s="190"/>
      <x:c r="F39" s="187"/>
      <x:c r="G39" s="284"/>
      <x:c r="H39" s="190"/>
      <x:c r="I39" s="187"/>
      <x:c r="J39" s="284"/>
      <x:c r="K39" s="190" t="n">
        <x:f>'2029 배당표'!Q145</x:f>
        <x:v>3</x:v>
      </x:c>
      <x:c r="L39" s="187" t="n">
        <x:f>'2029 배당표'!R145</x:f>
        <x:v>4</x:v>
      </x:c>
      <x:c r="M39" s="284" t="n">
        <x:f>'2029 배당표'!S145</x:f>
        <x:v>12</x:v>
      </x:c>
      <x:c r="N39" s="191"/>
      <x:c r="O39" s="188"/>
      <x:c r="P39" s="188"/>
      <x:c r="Q39" s="188"/>
      <x:c r="R39" s="184"/>
    </x:row>
    <x:row r="40" ht="17" customHeight="1">
      <x:c r="A40" s="176"/>
      <x:c r="B40" s="283"/>
      <x:c r="C40" s="283" t="str">
        <x:f>'2029 배당표'!C147</x:f>
        <x:v>통합</x:v>
      </x:c>
      <x:c r="D40" s="283" t="str">
        <x:f>'2029 배당표'!D147</x:f>
        <x:v>통합사회1</x:v>
      </x:c>
      <x:c r="E40" s="190" t="n">
        <x:f>'2029 배당표'!E147</x:f>
        <x:v>4</x:v>
      </x:c>
      <x:c r="F40" s="187" t="n">
        <x:f>'2029 배당표'!F147</x:f>
        <x:v>5</x:v>
      </x:c>
      <x:c r="G40" s="284" t="n">
        <x:f>'2029 배당표'!G147</x:f>
        <x:v>20</x:v>
      </x:c>
      <x:c r="H40" s="190"/>
      <x:c r="I40" s="187"/>
      <x:c r="J40" s="284"/>
      <x:c r="K40" s="190"/>
      <x:c r="L40" s="187"/>
      <x:c r="M40" s="284"/>
      <x:c r="N40" s="191"/>
      <x:c r="O40" s="188"/>
      <x:c r="P40" s="188"/>
      <x:c r="Q40" s="188"/>
      <x:c r="R40" s="184"/>
    </x:row>
    <x:row r="41" ht="18" customHeight="1">
      <x:c r="A41" s="176"/>
      <x:c r="B41" s="305" t="str">
        <x:v>사회 전체</x:v>
      </x:c>
      <x:c r="C41" s="304"/>
      <x:c r="D41" s="304"/>
      <x:c r="E41" s="304"/>
      <x:c r="F41" s="304"/>
      <x:c r="G41" s="304" t="n">
        <x:f>SUM(G28:G40)</x:f>
        <x:v>84</x:v>
      </x:c>
      <x:c r="H41" s="304"/>
      <x:c r="I41" s="304"/>
      <x:c r="J41" s="304" t="n">
        <x:f>SUM(J28:J40)</x:f>
        <x:v>54</x:v>
      </x:c>
      <x:c r="K41" s="304"/>
      <x:c r="L41" s="304"/>
      <x:c r="M41" s="304" t="n">
        <x:f>SUM(M28:M40)</x:f>
        <x:v>75</x:v>
      </x:c>
      <x:c r="N41" s="304" t="n">
        <x:f>'2029 배당표'!W197</x:f>
        <x:v>12</x:v>
      </x:c>
      <x:c r="O41" s="304" t="n">
        <x:f>'2029 배당표'!X197</x:f>
        <x:v>150</x:v>
      </x:c>
      <x:c r="P41" s="304" t="n">
        <x:f>'2029 배당표'!Y197</x:f>
        <x:v>63</x:v>
      </x:c>
      <x:c r="Q41" s="304" t="n">
        <x:f>'2029 배당표'!Z197</x:f>
        <x:v>213</x:v>
      </x:c>
      <x:c r="R41" s="306" t="n">
        <x:f>'2029 배당표'!AA197</x:f>
        <x:v>17.75</x:v>
      </x:c>
    </x:row>
    <x:row r="42" ht="12" customHeight="1">
      <x:c r="A42" s="176"/>
      <x:c r="B42" s="216" t="str">
        <x:v>경제 57명·택3 선택비율로 보정한 가정안. 2027 입학생부터 12학급, 교사 수는 2026학년도 정원 참고값입니다.</x:v>
      </x:c>
      <x:c r="C42" s="216"/>
      <x:c r="D42" s="216"/>
      <x:c r="E42" s="216"/>
      <x:c r="F42" s="216"/>
      <x:c r="G42" s="216"/>
      <x:c r="H42" s="216"/>
      <x:c r="I42" s="216"/>
      <x:c r="J42" s="216"/>
      <x:c r="K42" s="216"/>
      <x:c r="L42" s="216"/>
      <x:c r="M42" s="216"/>
      <x:c r="N42" s="216"/>
      <x:c r="O42" s="216"/>
      <x:c r="P42" s="216"/>
      <x:c r="Q42" s="216"/>
      <x:c r="R42" s="216"/>
    </x:row>
    <x:row r="43" ht="12" customHeight="1">
      <x:c r="A43" s="176"/>
      <x:c r="B43" s="216" t="str">
        <x:f>IF(SUM(G41,J41,M41)=Q41,"교육과정상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43" s="216"/>
      <x:c r="D43" s="216"/>
      <x:c r="E43" s="216"/>
      <x:c r="F43" s="216"/>
      <x:c r="G43" s="216"/>
      <x:c r="H43" s="216"/>
      <x:c r="I43" s="216"/>
      <x:c r="J43" s="216"/>
      <x:c r="K43" s="216"/>
      <x:c r="L43" s="216"/>
      <x:c r="M43" s="216"/>
      <x:c r="N43" s="216"/>
      <x:c r="O43" s="216"/>
      <x:c r="P43" s="216"/>
      <x:c r="Q43" s="216"/>
      <x:c r="R43" s="216"/>
    </x:row>
    <x:row r="44" ht="17" customHeight="1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  <x:c r="Q44" s="176"/>
      <x:c r="R44" s="176"/>
    </x:row>
    <x:row r="45" ht="17" customHeight="1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</x:row>
    <x:row r="46" ht="24" customHeight="1">
      <x:c r="A46" s="176"/>
      <x:c r="B46" s="177" t="str">
        <x:v>2029학년도 사회 주간수업 배당표</x:v>
      </x:c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  <x:c r="O46" s="177"/>
      <x:c r="P46" s="177"/>
      <x:c r="Q46" s="177"/>
      <x:c r="R46" s="177"/>
    </x:row>
    <x:row r="47" ht="16" customHeight="1">
      <x:c r="A47" s="176"/>
      <x:c r="B47" s="178" t="str">
        <x:v>2학기  /  기존안·변경안 공통  /  단위: 시간·주, 반, 명</x:v>
      </x:c>
      <x:c r="C47" s="178"/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</x:row>
    <x:row r="48" ht="22" customHeight="1">
      <x:c r="A48" s="176"/>
      <x:c r="B48" s="282" t="str">
        <x:v>담당
교과</x:v>
      </x:c>
      <x:c r="C48" s="282" t="str">
        <x:v>구분</x:v>
      </x:c>
      <x:c r="D48" s="282" t="str">
        <x:v>과목명</x:v>
      </x:c>
      <x:c r="E48" s="282" t="str">
        <x:v>1학년 (12학급)</x:v>
      </x:c>
      <x:c r="F48" s="282"/>
      <x:c r="G48" s="282"/>
      <x:c r="H48" s="282" t="str">
        <x:v>2학년 (12학급)</x:v>
      </x:c>
      <x:c r="I48" s="282"/>
      <x:c r="J48" s="282"/>
      <x:c r="K48" s="282" t="str">
        <x:v>3학년 (12학급)</x:v>
      </x:c>
      <x:c r="L48" s="282"/>
      <x:c r="M48" s="282"/>
      <x:c r="N48" s="282" t="str">
        <x:v>교사
수</x:v>
      </x:c>
      <x:c r="O48" s="282" t="str">
        <x:v>자체
시수</x:v>
      </x:c>
      <x:c r="P48" s="282" t="str">
        <x:v>배정
시수</x:v>
      </x:c>
      <x:c r="Q48" s="282" t="str">
        <x:v>교과
총시수</x:v>
      </x:c>
      <x:c r="R48" s="282" t="str">
        <x:v>교사 1인
평균</x:v>
      </x:c>
    </x:row>
    <x:row r="49" ht="22" customHeight="1">
      <x:c r="A49" s="176"/>
      <x:c r="B49" s="282"/>
      <x:c r="C49" s="282"/>
      <x:c r="D49" s="282"/>
      <x:c r="E49" s="282" t="str">
        <x:v>반당
시수</x:v>
      </x:c>
      <x:c r="F49" s="282" t="str">
        <x:v>개설
반 수</x:v>
      </x:c>
      <x:c r="G49" s="282" t="str">
        <x:v>교과
시수</x:v>
      </x:c>
      <x:c r="H49" s="282" t="str">
        <x:v>반당
시수</x:v>
      </x:c>
      <x:c r="I49" s="282" t="str">
        <x:v>개설
반 수</x:v>
      </x:c>
      <x:c r="J49" s="282" t="str">
        <x:v>교과
시수</x:v>
      </x:c>
      <x:c r="K49" s="282" t="str">
        <x:v>반당
시수</x:v>
      </x:c>
      <x:c r="L49" s="282" t="str">
        <x:v>개설
반 수</x:v>
      </x:c>
      <x:c r="M49" s="282" t="str">
        <x:v>교과
시수</x:v>
      </x:c>
      <x:c r="N49" s="282"/>
      <x:c r="O49" s="282"/>
      <x:c r="P49" s="282"/>
      <x:c r="Q49" s="282"/>
      <x:c r="R49" s="282"/>
    </x:row>
    <x:row r="50" ht="17" customHeight="1">
      <x:c r="A50" s="176"/>
      <x:c r="B50" s="300" t="str">
        <x:v>역사</x:v>
      </x:c>
      <x:c r="C50" s="295" t="str">
        <x:f>'2029 배당표'!C16</x:f>
        <x:v>자체</x:v>
      </x:c>
      <x:c r="D50" s="295" t="str">
        <x:f>'2029 배당표'!D16</x:f>
        <x:v>한국사2</x:v>
      </x:c>
      <x:c r="E50" s="203" t="n">
        <x:f>'2029 배당표'!H16</x:f>
        <x:v>3</x:v>
      </x:c>
      <x:c r="F50" s="204" t="n">
        <x:f>'2029 배당표'!I16</x:f>
        <x:v>12</x:v>
      </x:c>
      <x:c r="G50" s="296" t="n">
        <x:f>'2029 배당표'!J16</x:f>
        <x:v>36</x:v>
      </x:c>
      <x:c r="H50" s="203"/>
      <x:c r="I50" s="204"/>
      <x:c r="J50" s="296"/>
      <x:c r="K50" s="203"/>
      <x:c r="L50" s="204"/>
      <x:c r="M50" s="296"/>
      <x:c r="N50" s="297" t="n">
        <x:f>'2029 배당표'!W13</x:f>
        <x:v>3</x:v>
      </x:c>
      <x:c r="O50" s="298" t="n">
        <x:f>'2029 배당표'!AB13</x:f>
        <x:v>42</x:v>
      </x:c>
      <x:c r="P50" s="298" t="n">
        <x:f>'2029 배당표'!AC13</x:f>
        <x:v>8</x:v>
      </x:c>
      <x:c r="Q50" s="298" t="n">
        <x:f>'2029 배당표'!AD13</x:f>
        <x:v>50</x:v>
      </x:c>
      <x:c r="R50" s="299" t="n">
        <x:f>'2029 배당표'!AE13</x:f>
        <x:v>16.666666666666668</x:v>
      </x:c>
    </x:row>
    <x:row r="51" ht="17" customHeight="1">
      <x:c r="A51" s="176"/>
      <x:c r="B51" s="283"/>
      <x:c r="C51" s="283" t="str">
        <x:f>'2029 배당표'!C17</x:f>
        <x:v>자체</x:v>
      </x:c>
      <x:c r="D51" s="283" t="str">
        <x:f>'2029 배당표'!D17</x:f>
        <x:v>동아시아 역사 기행</x:v>
      </x:c>
      <x:c r="E51" s="190"/>
      <x:c r="F51" s="187"/>
      <x:c r="G51" s="284"/>
      <x:c r="H51" s="190" t="n">
        <x:f>'2029 배당표'!N17</x:f>
        <x:v>3</x:v>
      </x:c>
      <x:c r="I51" s="187" t="n">
        <x:f>'2029 배당표'!O17</x:f>
        <x:v>2</x:v>
      </x:c>
      <x:c r="J51" s="284" t="n">
        <x:f>'2029 배당표'!P17</x:f>
        <x:v>6</x:v>
      </x:c>
      <x:c r="K51" s="190"/>
      <x:c r="L51" s="187"/>
      <x:c r="M51" s="284"/>
      <x:c r="N51" s="191"/>
      <x:c r="O51" s="188"/>
      <x:c r="P51" s="188"/>
      <x:c r="Q51" s="188"/>
      <x:c r="R51" s="184"/>
    </x:row>
    <x:row r="52" ht="17" customHeight="1">
      <x:c r="A52" s="176"/>
      <x:c r="B52" s="283"/>
      <x:c r="C52" s="283" t="str">
        <x:f>'2029 배당표'!C20</x:f>
        <x:v>통합</x:v>
      </x:c>
      <x:c r="D52" s="283" t="str">
        <x:f>'2029 배당표'!D20</x:f>
        <x:v>통합사회2</x:v>
      </x:c>
      <x:c r="E52" s="190" t="n">
        <x:f>'2029 배당표'!H20</x:f>
        <x:v>4</x:v>
      </x:c>
      <x:c r="F52" s="187" t="n">
        <x:f>'2029 배당표'!I20</x:f>
        <x:v>2</x:v>
      </x:c>
      <x:c r="G52" s="284" t="n">
        <x:f>'2029 배당표'!J20</x:f>
        <x:v>8</x:v>
      </x:c>
      <x:c r="H52" s="190"/>
      <x:c r="I52" s="187"/>
      <x:c r="J52" s="284"/>
      <x:c r="K52" s="190"/>
      <x:c r="L52" s="187"/>
      <x:c r="M52" s="284"/>
      <x:c r="N52" s="191"/>
      <x:c r="O52" s="188"/>
      <x:c r="P52" s="188"/>
      <x:c r="Q52" s="188"/>
      <x:c r="R52" s="184"/>
    </x:row>
    <x:row r="53" ht="17" customHeight="1">
      <x:c r="A53" s="176"/>
      <x:c r="B53" s="300" t="str">
        <x:v>일반사회</x:v>
      </x:c>
      <x:c r="C53" s="295" t="str">
        <x:f>'2029 배당표'!C28</x:f>
        <x:v>자체</x:v>
      </x:c>
      <x:c r="D53" s="295" t="str">
        <x:f>'2029 배당표'!D28</x:f>
        <x:v>법과 사회</x:v>
      </x:c>
      <x:c r="E53" s="203"/>
      <x:c r="F53" s="204"/>
      <x:c r="G53" s="296"/>
      <x:c r="H53" s="203" t="n">
        <x:f>'2029 배당표'!N28</x:f>
        <x:v>3</x:v>
      </x:c>
      <x:c r="I53" s="204" t="n">
        <x:f>'2029 배당표'!O28</x:f>
        <x:v>5</x:v>
      </x:c>
      <x:c r="J53" s="296" t="n">
        <x:f>'2029 배당표'!P28</x:f>
        <x:v>15</x:v>
      </x:c>
      <x:c r="K53" s="203"/>
      <x:c r="L53" s="204"/>
      <x:c r="M53" s="296"/>
      <x:c r="N53" s="297" t="n">
        <x:f>'2029 배당표'!W24</x:f>
        <x:v>4</x:v>
      </x:c>
      <x:c r="O53" s="298" t="n">
        <x:f>'2029 배당표'!AB24</x:f>
        <x:v>27</x:v>
      </x:c>
      <x:c r="P53" s="298" t="n">
        <x:f>'2029 배당표'!AC24</x:f>
        <x:v>39</x:v>
      </x:c>
      <x:c r="Q53" s="298" t="n">
        <x:f>'2029 배당표'!AD24</x:f>
        <x:v>66</x:v>
      </x:c>
      <x:c r="R53" s="299" t="n">
        <x:f>'2029 배당표'!AE24</x:f>
        <x:v>16.5</x:v>
      </x:c>
    </x:row>
    <x:row r="54" ht="17" customHeight="1">
      <x:c r="A54" s="176"/>
      <x:c r="B54" s="283"/>
      <x:c r="C54" s="283" t="str">
        <x:f>'2029 배당표'!C29</x:f>
        <x:v>자체</x:v>
      </x:c>
      <x:c r="D54" s="283" t="str">
        <x:f>'2029 배당표'!D29</x:f>
        <x:v>정치</x:v>
      </x:c>
      <x:c r="E54" s="190"/>
      <x:c r="F54" s="187"/>
      <x:c r="G54" s="284"/>
      <x:c r="H54" s="190" t="n">
        <x:f>'2029 배당표'!N29</x:f>
        <x:v>3</x:v>
      </x:c>
      <x:c r="I54" s="187" t="n">
        <x:f>'2029 배당표'!O29</x:f>
        <x:v>4</x:v>
      </x:c>
      <x:c r="J54" s="284" t="n">
        <x:f>'2029 배당표'!P29</x:f>
        <x:v>12</x:v>
      </x:c>
      <x:c r="K54" s="190"/>
      <x:c r="L54" s="187"/>
      <x:c r="M54" s="284"/>
      <x:c r="N54" s="191"/>
      <x:c r="O54" s="188"/>
      <x:c r="P54" s="188"/>
      <x:c r="Q54" s="188"/>
      <x:c r="R54" s="184"/>
    </x:row>
    <x:row r="55" ht="17" customHeight="1">
      <x:c r="A55" s="176"/>
      <x:c r="B55" s="283"/>
      <x:c r="C55" s="283" t="str">
        <x:f>'2029 배당표'!C32</x:f>
        <x:v>통합</x:v>
      </x:c>
      <x:c r="D55" s="283" t="str">
        <x:f>'2029 배당표'!D32</x:f>
        <x:v>통합사회2</x:v>
      </x:c>
      <x:c r="E55" s="190" t="n">
        <x:f>'2029 배당표'!H32</x:f>
        <x:v>4</x:v>
      </x:c>
      <x:c r="F55" s="187" t="n">
        <x:f>'2029 배당표'!I32</x:f>
        <x:v>3</x:v>
      </x:c>
      <x:c r="G55" s="284" t="n">
        <x:f>'2029 배당표'!J32</x:f>
        <x:v>12</x:v>
      </x:c>
      <x:c r="H55" s="190"/>
      <x:c r="I55" s="187"/>
      <x:c r="J55" s="284"/>
      <x:c r="K55" s="190"/>
      <x:c r="L55" s="187"/>
      <x:c r="M55" s="284"/>
      <x:c r="N55" s="191"/>
      <x:c r="O55" s="188"/>
      <x:c r="P55" s="188"/>
      <x:c r="Q55" s="188"/>
      <x:c r="R55" s="184"/>
    </x:row>
    <x:row r="56" ht="17" customHeight="1">
      <x:c r="A56" s="176"/>
      <x:c r="B56" s="283"/>
      <x:c r="C56" s="283" t="str">
        <x:f>'2029 배당표'!C33</x:f>
        <x:v>융합</x:v>
      </x:c>
      <x:c r="D56" s="283" t="str">
        <x:f>'2029 배당표'!D33</x:f>
        <x:v>사회문제 탐구</x:v>
      </x:c>
      <x:c r="E56" s="190"/>
      <x:c r="F56" s="187"/>
      <x:c r="G56" s="284"/>
      <x:c r="H56" s="190"/>
      <x:c r="I56" s="187"/>
      <x:c r="J56" s="284"/>
      <x:c r="K56" s="190" t="n">
        <x:f>'2029 배당표'!T33</x:f>
        <x:v>3</x:v>
      </x:c>
      <x:c r="L56" s="187" t="n">
        <x:f>'2029 배당표'!U33</x:f>
        <x:v>9</x:v>
      </x:c>
      <x:c r="M56" s="284" t="n">
        <x:f>'2029 배당표'!V33</x:f>
        <x:v>27</x:v>
      </x:c>
      <x:c r="N56" s="191"/>
      <x:c r="O56" s="188"/>
      <x:c r="P56" s="188"/>
      <x:c r="Q56" s="188"/>
      <x:c r="R56" s="184"/>
    </x:row>
    <x:row r="57" ht="17" customHeight="1">
      <x:c r="A57" s="176"/>
      <x:c r="B57" s="300" t="str">
        <x:v>지리</x:v>
      </x:c>
      <x:c r="C57" s="295" t="str">
        <x:f>'2029 배당표'!C39</x:f>
        <x:v>자체</x:v>
      </x:c>
      <x:c r="D57" s="295" t="str">
        <x:f>'2029 배당표'!D39</x:f>
        <x:v>한국지리 탐구</x:v>
      </x:c>
      <x:c r="E57" s="203"/>
      <x:c r="F57" s="204"/>
      <x:c r="G57" s="296"/>
      <x:c r="H57" s="203" t="n">
        <x:f>'2029 배당표'!N39</x:f>
        <x:v>3</x:v>
      </x:c>
      <x:c r="I57" s="204" t="n">
        <x:f>'2029 배당표'!O39</x:f>
        <x:v>2</x:v>
      </x:c>
      <x:c r="J57" s="296" t="n">
        <x:f>'2029 배당표'!P39</x:f>
        <x:v>6</x:v>
      </x:c>
      <x:c r="K57" s="203"/>
      <x:c r="L57" s="204"/>
      <x:c r="M57" s="296"/>
      <x:c r="N57" s="297" t="n">
        <x:f>'2029 배당표'!W36</x:f>
        <x:v>2</x:v>
      </x:c>
      <x:c r="O57" s="298" t="n">
        <x:f>'2029 배당표'!AB36</x:f>
        <x:v>6</x:v>
      </x:c>
      <x:c r="P57" s="298" t="n">
        <x:f>'2029 배당표'!AC36</x:f>
        <x:v>25</x:v>
      </x:c>
      <x:c r="Q57" s="298" t="n">
        <x:f>'2029 배당표'!AD36</x:f>
        <x:v>31</x:v>
      </x:c>
      <x:c r="R57" s="299" t="n">
        <x:f>'2029 배당표'!AE36</x:f>
        <x:v>15.5</x:v>
      </x:c>
    </x:row>
    <x:row r="58" ht="17" customHeight="1">
      <x:c r="A58" s="176"/>
      <x:c r="B58" s="283"/>
      <x:c r="C58" s="283" t="str">
        <x:f>'2029 배당표'!C42</x:f>
        <x:v>통합</x:v>
      </x:c>
      <x:c r="D58" s="283" t="str">
        <x:f>'2029 배당표'!D42</x:f>
        <x:v>통합사회2</x:v>
      </x:c>
      <x:c r="E58" s="190" t="n">
        <x:f>'2029 배당표'!H42</x:f>
        <x:v>4</x:v>
      </x:c>
      <x:c r="F58" s="187" t="n">
        <x:f>'2029 배당표'!I42</x:f>
        <x:v>1</x:v>
      </x:c>
      <x:c r="G58" s="284" t="n">
        <x:f>'2029 배당표'!J42</x:f>
        <x:v>4</x:v>
      </x:c>
      <x:c r="H58" s="190"/>
      <x:c r="I58" s="187"/>
      <x:c r="J58" s="284"/>
      <x:c r="K58" s="190"/>
      <x:c r="L58" s="187"/>
      <x:c r="M58" s="284"/>
      <x:c r="N58" s="191"/>
      <x:c r="O58" s="188"/>
      <x:c r="P58" s="188"/>
      <x:c r="Q58" s="188"/>
      <x:c r="R58" s="184"/>
    </x:row>
    <x:row r="59" ht="17" customHeight="1">
      <x:c r="A59" s="176"/>
      <x:c r="B59" s="283"/>
      <x:c r="C59" s="283" t="str">
        <x:f>'2029 배당표'!C44</x:f>
        <x:v>융합</x:v>
      </x:c>
      <x:c r="D59" s="283" t="str">
        <x:f>'2029 배당표'!D44</x:f>
        <x:v>여행지리</x:v>
      </x:c>
      <x:c r="E59" s="190"/>
      <x:c r="F59" s="187"/>
      <x:c r="G59" s="284"/>
      <x:c r="H59" s="190"/>
      <x:c r="I59" s="187"/>
      <x:c r="J59" s="284"/>
      <x:c r="K59" s="190" t="n">
        <x:f>'2029 배당표'!T44</x:f>
        <x:v>3</x:v>
      </x:c>
      <x:c r="L59" s="187" t="n">
        <x:f>'2029 배당표'!U44</x:f>
        <x:v>7</x:v>
      </x:c>
      <x:c r="M59" s="284" t="n">
        <x:f>'2029 배당표'!V44</x:f>
        <x:v>21</x:v>
      </x:c>
      <x:c r="N59" s="191"/>
      <x:c r="O59" s="188"/>
      <x:c r="P59" s="188"/>
      <x:c r="Q59" s="188"/>
      <x:c r="R59" s="184"/>
    </x:row>
    <x:row r="60" ht="17" customHeight="1">
      <x:c r="A60" s="176"/>
      <x:c r="B60" s="300" t="str">
        <x:v>윤리</x:v>
      </x:c>
      <x:c r="C60" s="295" t="str">
        <x:f>'2029 배당표'!C49</x:f>
        <x:v>자체</x:v>
      </x:c>
      <x:c r="D60" s="295" t="str">
        <x:f>'2029 배당표'!D49</x:f>
        <x:v>윤리와 사상</x:v>
      </x:c>
      <x:c r="E60" s="203"/>
      <x:c r="F60" s="204"/>
      <x:c r="G60" s="296"/>
      <x:c r="H60" s="203" t="n">
        <x:f>'2029 배당표'!N49</x:f>
        <x:v>3</x:v>
      </x:c>
      <x:c r="I60" s="204" t="n">
        <x:f>'2029 배당표'!O49</x:f>
        <x:v>5</x:v>
      </x:c>
      <x:c r="J60" s="296" t="n">
        <x:f>'2029 배당표'!P49</x:f>
        <x:v>15</x:v>
      </x:c>
      <x:c r="K60" s="203"/>
      <x:c r="L60" s="204"/>
      <x:c r="M60" s="296"/>
      <x:c r="N60" s="297" t="n">
        <x:f>'2029 배당표'!W46</x:f>
        <x:v>3</x:v>
      </x:c>
      <x:c r="O60" s="298" t="n">
        <x:f>'2029 배당표'!AB46</x:f>
        <x:v>15</x:v>
      </x:c>
      <x:c r="P60" s="298" t="n">
        <x:f>'2029 배당표'!AC46</x:f>
        <x:v>36</x:v>
      </x:c>
      <x:c r="Q60" s="298" t="n">
        <x:f>'2029 배당표'!AD46</x:f>
        <x:v>51</x:v>
      </x:c>
      <x:c r="R60" s="299" t="n">
        <x:f>'2029 배당표'!AE46</x:f>
        <x:v>17</x:v>
      </x:c>
    </x:row>
    <x:row r="61" ht="17" customHeight="1">
      <x:c r="A61" s="176"/>
      <x:c r="B61" s="283"/>
      <x:c r="C61" s="283" t="str">
        <x:f>'2029 배당표'!C52</x:f>
        <x:v>통합</x:v>
      </x:c>
      <x:c r="D61" s="283" t="str">
        <x:f>'2029 배당표'!D52</x:f>
        <x:v>통합사회2</x:v>
      </x:c>
      <x:c r="E61" s="190" t="n">
        <x:f>'2029 배당표'!H52</x:f>
        <x:v>4</x:v>
      </x:c>
      <x:c r="F61" s="187" t="n">
        <x:f>'2029 배당표'!I52</x:f>
        <x:v>6</x:v>
      </x:c>
      <x:c r="G61" s="284" t="n">
        <x:f>'2029 배당표'!J52</x:f>
        <x:v>24</x:v>
      </x:c>
      <x:c r="H61" s="190"/>
      <x:c r="I61" s="187"/>
      <x:c r="J61" s="284"/>
      <x:c r="K61" s="190"/>
      <x:c r="L61" s="187"/>
      <x:c r="M61" s="284"/>
      <x:c r="N61" s="191"/>
      <x:c r="O61" s="188"/>
      <x:c r="P61" s="188"/>
      <x:c r="Q61" s="188"/>
      <x:c r="R61" s="184"/>
    </x:row>
    <x:row r="62" ht="17" customHeight="1">
      <x:c r="A62" s="176"/>
      <x:c r="B62" s="283"/>
      <x:c r="C62" s="283" t="str">
        <x:f>'2029 배당표'!C55</x:f>
        <x:v>융합</x:v>
      </x:c>
      <x:c r="D62" s="283" t="str">
        <x:f>'2029 배당표'!D55</x:f>
        <x:v>윤리문제 탐구</x:v>
      </x:c>
      <x:c r="E62" s="190"/>
      <x:c r="F62" s="187"/>
      <x:c r="G62" s="284"/>
      <x:c r="H62" s="190"/>
      <x:c r="I62" s="187"/>
      <x:c r="J62" s="284"/>
      <x:c r="K62" s="190" t="n">
        <x:f>'2029 배당표'!T55</x:f>
        <x:v>3</x:v>
      </x:c>
      <x:c r="L62" s="187" t="n">
        <x:f>'2029 배당표'!U55</x:f>
        <x:v>4</x:v>
      </x:c>
      <x:c r="M62" s="284" t="n">
        <x:f>'2029 배당표'!V55</x:f>
        <x:v>12</x:v>
      </x:c>
      <x:c r="N62" s="191"/>
      <x:c r="O62" s="188"/>
      <x:c r="P62" s="188"/>
      <x:c r="Q62" s="188"/>
      <x:c r="R62" s="184"/>
    </x:row>
    <x:row r="63" ht="18" customHeight="1">
      <x:c r="A63" s="176"/>
      <x:c r="B63" s="305" t="str">
        <x:v>사회 전체</x:v>
      </x:c>
      <x:c r="C63" s="304"/>
      <x:c r="D63" s="304"/>
      <x:c r="E63" s="304"/>
      <x:c r="F63" s="304"/>
      <x:c r="G63" s="304" t="n">
        <x:f>SUM(G50:G62)</x:f>
        <x:v>84</x:v>
      </x:c>
      <x:c r="H63" s="304"/>
      <x:c r="I63" s="304"/>
      <x:c r="J63" s="304" t="n">
        <x:f>SUM(J50:J62)</x:f>
        <x:v>54</x:v>
      </x:c>
      <x:c r="K63" s="304"/>
      <x:c r="L63" s="304"/>
      <x:c r="M63" s="304" t="n">
        <x:f>SUM(M50:M62)</x:f>
        <x:v>60</x:v>
      </x:c>
      <x:c r="N63" s="304" t="n">
        <x:f>'2029 배당표'!W100</x:f>
        <x:v>12</x:v>
      </x:c>
      <x:c r="O63" s="304" t="n">
        <x:f>'2029 배당표'!AB100</x:f>
        <x:v>90</x:v>
      </x:c>
      <x:c r="P63" s="304" t="n">
        <x:f>'2029 배당표'!AC100</x:f>
        <x:v>108</x:v>
      </x:c>
      <x:c r="Q63" s="304" t="n">
        <x:f>'2029 배당표'!AD100</x:f>
        <x:v>198</x:v>
      </x:c>
      <x:c r="R63" s="306" t="n">
        <x:f>'2029 배당표'!AE100</x:f>
        <x:v>16.5</x:v>
      </x:c>
    </x:row>
    <x:row r="64" ht="12" customHeight="1">
      <x:c r="A64" s="176"/>
      <x:c r="B64" s="216" t="str">
        <x:v>윤리와 사상 99명·택3 선택비율로 보정한 가정안. 2027 입학생부터 12학급, 교사 수는 2026학년도 정원 참고값입니다.</x:v>
      </x:c>
      <x:c r="C64" s="216"/>
      <x:c r="D64" s="216"/>
      <x:c r="E64" s="216"/>
      <x:c r="F64" s="216"/>
      <x:c r="G64" s="216"/>
      <x:c r="H64" s="216"/>
      <x:c r="I64" s="216"/>
      <x:c r="J64" s="216"/>
      <x:c r="K64" s="216"/>
      <x:c r="L64" s="216"/>
      <x:c r="M64" s="216"/>
      <x:c r="N64" s="216"/>
      <x:c r="O64" s="216"/>
      <x:c r="P64" s="216"/>
      <x:c r="Q64" s="216"/>
      <x:c r="R64" s="216"/>
    </x:row>
    <x:row r="65" ht="12" customHeight="1">
      <x:c r="A65" s="176"/>
      <x:c r="B65" s="216" t="str">
        <x:f>IF(SUM(G63,J63,M63)=Q63,"교육과정상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65" s="216"/>
      <x:c r="D65" s="216"/>
      <x:c r="E65" s="216"/>
      <x:c r="F65" s="216"/>
      <x:c r="G65" s="216"/>
      <x:c r="H65" s="216"/>
      <x:c r="I65" s="216"/>
      <x:c r="J65" s="216"/>
      <x:c r="K65" s="216"/>
      <x:c r="L65" s="216"/>
      <x:c r="M65" s="216"/>
      <x:c r="N65" s="216"/>
      <x:c r="O65" s="216"/>
      <x:c r="P65" s="216"/>
      <x:c r="Q65" s="216"/>
      <x:c r="R65" s="216"/>
    </x:row>
    <x:row r="66" ht="17" customHeight="1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</x:row>
    <x:row r="67" ht="17" customHeight="1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</x:row>
    <x:row r="68" ht="17" customHeight="1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</x:row>
    <x:row r="69" ht="17" customHeight="1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</x:row>
    <x:row r="70" ht="17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</x:row>
    <x:row r="71" ht="17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</x:row>
    <x:row r="72" ht="17" customHeight="1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</x:row>
    <x:row r="73" ht="17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</x:row>
    <x:row r="74" ht="17" customHeight="1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</x:row>
    <x:row r="75" ht="17" customHeight="1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</x:row>
    <x:row r="76" ht="17" customHeight="1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</x:row>
    <x:row r="77" ht="17" customHeight="1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</x:row>
    <x:row r="78" ht="17" customHeight="1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</x:row>
    <x:row r="79" ht="17" customHeight="1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19:D19"/>
    <x:mergeCell ref="B20:R20"/>
    <x:mergeCell ref="B21:R21"/>
    <x:mergeCell ref="B24:R24"/>
    <x:mergeCell ref="B25:R25"/>
    <x:mergeCell ref="B26:B27"/>
    <x:mergeCell ref="C26:C27"/>
    <x:mergeCell ref="D26:D27"/>
    <x:mergeCell ref="N26:N27"/>
    <x:mergeCell ref="O26:O27"/>
    <x:mergeCell ref="P26:P27"/>
    <x:mergeCell ref="Q26:Q27"/>
    <x:mergeCell ref="R26:R27"/>
    <x:mergeCell ref="E26:G26"/>
    <x:mergeCell ref="H26:J26"/>
    <x:mergeCell ref="K26:M26"/>
    <x:mergeCell ref="B41:D41"/>
    <x:mergeCell ref="B42:R42"/>
    <x:mergeCell ref="B43:R43"/>
    <x:mergeCell ref="B46:R46"/>
    <x:mergeCell ref="B47:R47"/>
    <x:mergeCell ref="B48:B49"/>
    <x:mergeCell ref="C48:C49"/>
    <x:mergeCell ref="D48:D49"/>
    <x:mergeCell ref="N48:N49"/>
    <x:mergeCell ref="O48:O49"/>
    <x:mergeCell ref="P48:P49"/>
    <x:mergeCell ref="Q48:Q49"/>
    <x:mergeCell ref="R48:R49"/>
    <x:mergeCell ref="E48:G48"/>
    <x:mergeCell ref="H48:J48"/>
    <x:mergeCell ref="K48:M48"/>
    <x:mergeCell ref="B63:D63"/>
    <x:mergeCell ref="B64:R64"/>
    <x:mergeCell ref="B65:R65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6.xml><?xml version="1.0" encoding="utf-8"?>
<x:worksheet xmlns:x="http://schemas.openxmlformats.org/spreadsheetml/2006/main">
  <x:sheetPr>
    <x:tabColor rgb="FF425A39"/>
    <x:pageSetUpPr fitToPage="0" autoPageBreaks="0"/>
  </x:sheetPr>
  <x:sheetViews>
    <x:sheetView showGridLines="0" workbookViewId="0" tabSelected="0">
      <x:pane xSplit="4" ySplit="5" topLeftCell="E6" activePane="bottomRight" state="frozen"/>
    </x:sheetView>
  </x:sheetViews>
  <x:sheetFormatPr defaultRowHeight="15"/>
  <x:cols>
    <x:col min="1" max="1" width="1.5" hidden="0" customWidth="1"/>
    <x:col min="2" max="2" width="9" hidden="0" customWidth="1"/>
    <x:col min="3" max="3" width="5.5" hidden="0" customWidth="1"/>
    <x:col min="4" max="4" width="33.7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.25" hidden="0" customWidth="1"/>
    <x:col min="15" max="15" width="6.5" hidden="0" customWidth="1"/>
    <x:col min="16" max="16" width="6.5" hidden="0" customWidth="1"/>
    <x:col min="17" max="17" width="6.5" hidden="0" customWidth="1"/>
    <x:col min="18" max="18" width="8.25" hidden="0" customWidth="1"/>
  </x:cols>
  <x:sheetData>
    <x:row r="1" ht="17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</x:row>
    <x:row r="2" ht="24" customHeight="1">
      <x:c r="A2" s="176"/>
      <x:c r="B2" s="177" t="str">
        <x:v>2029학년도 과학 주간수업 배당표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</x:row>
    <x:row r="3" ht="16" customHeight="1">
      <x:c r="A3" s="176"/>
      <x:c r="B3" s="178" t="str">
        <x:v>1학기  /  기존안  /  단위: 시간·주, 반, 명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</x:row>
    <x:row r="4" ht="22" customHeight="1">
      <x:c r="A4" s="176"/>
      <x:c r="B4" s="282" t="str">
        <x:v>담당
교과</x:v>
      </x:c>
      <x:c r="C4" s="282" t="str">
        <x:v>구분</x:v>
      </x:c>
      <x:c r="D4" s="282" t="str">
        <x:v>과목명</x:v>
      </x:c>
      <x:c r="E4" s="282" t="str">
        <x:v>1학년 (12학급)</x:v>
      </x:c>
      <x:c r="F4" s="282"/>
      <x:c r="G4" s="282"/>
      <x:c r="H4" s="282" t="str">
        <x:v>2학년 (12학급)</x:v>
      </x:c>
      <x:c r="I4" s="282"/>
      <x:c r="J4" s="282"/>
      <x:c r="K4" s="282" t="str">
        <x:v>3학년 (12학급)</x:v>
      </x:c>
      <x:c r="L4" s="282"/>
      <x:c r="M4" s="282"/>
      <x:c r="N4" s="282" t="str">
        <x:v>교사
수</x:v>
      </x:c>
      <x:c r="O4" s="282" t="str">
        <x:v>자체
시수</x:v>
      </x:c>
      <x:c r="P4" s="282" t="str">
        <x:v>배정
시수</x:v>
      </x:c>
      <x:c r="Q4" s="282" t="str">
        <x:v>교과
총시수</x:v>
      </x:c>
      <x:c r="R4" s="282" t="str">
        <x:v>교사 1인
평균</x:v>
      </x:c>
    </x:row>
    <x:row r="5" ht="22" customHeight="1">
      <x:c r="A5" s="176"/>
      <x:c r="B5" s="282"/>
      <x:c r="C5" s="282"/>
      <x:c r="D5" s="282"/>
      <x:c r="E5" s="282" t="str">
        <x:v>반당
시수</x:v>
      </x:c>
      <x:c r="F5" s="282" t="str">
        <x:v>개설
반 수</x:v>
      </x:c>
      <x:c r="G5" s="282" t="str">
        <x:v>교과
시수</x:v>
      </x:c>
      <x:c r="H5" s="282" t="str">
        <x:v>반당
시수</x:v>
      </x:c>
      <x:c r="I5" s="282" t="str">
        <x:v>개설
반 수</x:v>
      </x:c>
      <x:c r="J5" s="282" t="str">
        <x:v>교과
시수</x:v>
      </x:c>
      <x:c r="K5" s="282" t="str">
        <x:v>반당
시수</x:v>
      </x:c>
      <x:c r="L5" s="282" t="str">
        <x:v>개설
반 수</x:v>
      </x:c>
      <x:c r="M5" s="282" t="str">
        <x:v>교과
시수</x:v>
      </x:c>
      <x:c r="N5" s="282"/>
      <x:c r="O5" s="282"/>
      <x:c r="P5" s="282"/>
      <x:c r="Q5" s="282"/>
      <x:c r="R5" s="282"/>
    </x:row>
    <x:row r="6" ht="17" customHeight="1">
      <x:c r="A6" s="176"/>
      <x:c r="B6" s="300" t="str">
        <x:v>물리</x:v>
      </x:c>
      <x:c r="C6" s="295" t="str">
        <x:f>'2029 배당표'!C57</x:f>
        <x:v>자체</x:v>
      </x:c>
      <x:c r="D6" s="295" t="str">
        <x:f>'2029 배당표'!D57</x:f>
        <x:v>물리학</x:v>
      </x:c>
      <x:c r="E6" s="203"/>
      <x:c r="F6" s="204"/>
      <x:c r="G6" s="296"/>
      <x:c r="H6" s="203" t="n">
        <x:f>'2029 배당표'!K57</x:f>
        <x:v>3</x:v>
      </x:c>
      <x:c r="I6" s="204" t="n">
        <x:f>'2029 배당표'!L57</x:f>
        <x:v>4</x:v>
      </x:c>
      <x:c r="J6" s="296" t="n">
        <x:f>'2029 배당표'!M57</x:f>
        <x:v>12</x:v>
      </x:c>
      <x:c r="K6" s="203"/>
      <x:c r="L6" s="204"/>
      <x:c r="M6" s="296"/>
      <x:c r="N6" s="297" t="n">
        <x:f>'2029 배당표'!W56</x:f>
        <x:v>2</x:v>
      </x:c>
      <x:c r="O6" s="298" t="n">
        <x:f>'2029 배당표'!X56</x:f>
        <x:v>21</x:v>
      </x:c>
      <x:c r="P6" s="298" t="n">
        <x:f>'2029 배당표'!Y56</x:f>
        <x:v>9</x:v>
      </x:c>
      <x:c r="Q6" s="298" t="n">
        <x:f>'2029 배당표'!Z56</x:f>
        <x:v>30</x:v>
      </x:c>
      <x:c r="R6" s="299" t="n">
        <x:f>'2029 배당표'!AA56</x:f>
        <x:v>15</x:v>
      </x:c>
    </x:row>
    <x:row r="7" ht="17" customHeight="1">
      <x:c r="A7" s="176"/>
      <x:c r="B7" s="283"/>
      <x:c r="C7" s="283" t="str">
        <x:f>'2029 배당표'!C58</x:f>
        <x:v>자체</x:v>
      </x:c>
      <x:c r="D7" s="283" t="str">
        <x:f>'2029 배당표'!D58</x:f>
        <x:v>전자기와 양자</x:v>
      </x:c>
      <x:c r="E7" s="190"/>
      <x:c r="F7" s="187"/>
      <x:c r="G7" s="284"/>
      <x:c r="H7" s="190"/>
      <x:c r="I7" s="187"/>
      <x:c r="J7" s="284"/>
      <x:c r="K7" s="190" t="n">
        <x:f>'2029 배당표'!Q58</x:f>
        <x:v>3</x:v>
      </x:c>
      <x:c r="L7" s="187" t="n">
        <x:f>'2029 배당표'!R58</x:f>
        <x:v>3</x:v>
      </x:c>
      <x:c r="M7" s="284" t="n">
        <x:f>'2029 배당표'!S58</x:f>
        <x:v>9</x:v>
      </x:c>
      <x:c r="N7" s="191"/>
      <x:c r="O7" s="188"/>
      <x:c r="P7" s="188"/>
      <x:c r="Q7" s="188"/>
      <x:c r="R7" s="184"/>
    </x:row>
    <x:row r="8" ht="17" customHeight="1">
      <x:c r="A8" s="176"/>
      <x:c r="B8" s="283"/>
      <x:c r="C8" s="283" t="str">
        <x:f>'2029 배당표'!C60</x:f>
        <x:v>통합</x:v>
      </x:c>
      <x:c r="D8" s="283" t="str">
        <x:f>'2029 배당표'!D60</x:f>
        <x:v>통합과학1</x:v>
      </x:c>
      <x:c r="E8" s="190" t="n">
        <x:f>'2029 배당표'!E60</x:f>
        <x:v>4</x:v>
      </x:c>
      <x:c r="F8" s="187" t="n">
        <x:f>'2029 배당표'!F60</x:f>
        <x:v>2</x:v>
      </x:c>
      <x:c r="G8" s="284" t="n">
        <x:f>'2029 배당표'!G60</x:f>
        <x:v>8</x:v>
      </x:c>
      <x:c r="H8" s="190"/>
      <x:c r="I8" s="187"/>
      <x:c r="J8" s="284"/>
      <x:c r="K8" s="190"/>
      <x:c r="L8" s="187"/>
      <x:c r="M8" s="284"/>
      <x:c r="N8" s="191"/>
      <x:c r="O8" s="188"/>
      <x:c r="P8" s="188"/>
      <x:c r="Q8" s="188"/>
      <x:c r="R8" s="184"/>
    </x:row>
    <x:row r="9" ht="17" customHeight="1">
      <x:c r="A9" s="176"/>
      <x:c r="B9" s="283"/>
      <x:c r="C9" s="283" t="str">
        <x:f>'2029 배당표'!C61</x:f>
        <x:v>실험</x:v>
      </x:c>
      <x:c r="D9" s="283" t="str">
        <x:f>'2029 배당표'!D61</x:f>
        <x:v>과학탐구실험1</x:v>
      </x:c>
      <x:c r="E9" s="190" t="n">
        <x:f>'2029 배당표'!E61</x:f>
        <x:v>1</x:v>
      </x:c>
      <x:c r="F9" s="187" t="n">
        <x:f>'2029 배당표'!F61</x:f>
        <x:v>1</x:v>
      </x:c>
      <x:c r="G9" s="284" t="n">
        <x:f>'2029 배당표'!G61</x:f>
        <x:v>1</x:v>
      </x:c>
      <x:c r="H9" s="190"/>
      <x:c r="I9" s="187"/>
      <x:c r="J9" s="284"/>
      <x:c r="K9" s="190"/>
      <x:c r="L9" s="187"/>
      <x:c r="M9" s="284"/>
      <x:c r="N9" s="191"/>
      <x:c r="O9" s="188"/>
      <x:c r="P9" s="188"/>
      <x:c r="Q9" s="188"/>
      <x:c r="R9" s="184"/>
    </x:row>
    <x:row r="10" ht="17" customHeight="1">
      <x:c r="A10" s="176"/>
      <x:c r="B10" s="300" t="str">
        <x:v>화학</x:v>
      </x:c>
      <x:c r="C10" s="295" t="str">
        <x:f>'2029 배당표'!C68</x:f>
        <x:v>자체</x:v>
      </x:c>
      <x:c r="D10" s="295" t="str">
        <x:f>'2029 배당표'!D68</x:f>
        <x:v>화학</x:v>
      </x:c>
      <x:c r="E10" s="203"/>
      <x:c r="F10" s="204"/>
      <x:c r="G10" s="296"/>
      <x:c r="H10" s="203" t="n">
        <x:f>'2029 배당표'!K68</x:f>
        <x:v>3</x:v>
      </x:c>
      <x:c r="I10" s="204" t="n">
        <x:f>'2029 배당표'!L68</x:f>
        <x:v>5</x:v>
      </x:c>
      <x:c r="J10" s="296" t="n">
        <x:f>'2029 배당표'!M68</x:f>
        <x:v>15</x:v>
      </x:c>
      <x:c r="K10" s="203"/>
      <x:c r="L10" s="204"/>
      <x:c r="M10" s="296"/>
      <x:c r="N10" s="297" t="n">
        <x:f>'2029 배당표'!W67</x:f>
        <x:v>3</x:v>
      </x:c>
      <x:c r="O10" s="298" t="n">
        <x:f>'2029 배당표'!X67</x:f>
        <x:v>39</x:v>
      </x:c>
      <x:c r="P10" s="298" t="n">
        <x:f>'2029 배당표'!Y67</x:f>
        <x:v>6</x:v>
      </x:c>
      <x:c r="Q10" s="298" t="n">
        <x:f>'2029 배당표'!Z67</x:f>
        <x:v>45</x:v>
      </x:c>
      <x:c r="R10" s="299" t="n">
        <x:f>'2029 배당표'!AA67</x:f>
        <x:v>15</x:v>
      </x:c>
    </x:row>
    <x:row r="11" ht="17" customHeight="1">
      <x:c r="A11" s="176"/>
      <x:c r="B11" s="283"/>
      <x:c r="C11" s="283" t="str">
        <x:f>'2029 배당표'!C69</x:f>
        <x:v>자체</x:v>
      </x:c>
      <x:c r="D11" s="283" t="str">
        <x:f>'2029 배당표'!D69</x:f>
        <x:v>물질과 에너지</x:v>
      </x:c>
      <x:c r="E11" s="190"/>
      <x:c r="F11" s="187"/>
      <x:c r="G11" s="284"/>
      <x:c r="H11" s="190"/>
      <x:c r="I11" s="187"/>
      <x:c r="J11" s="284"/>
      <x:c r="K11" s="190" t="n">
        <x:f>'2029 배당표'!Q69</x:f>
        <x:v>3</x:v>
      </x:c>
      <x:c r="L11" s="187" t="n">
        <x:f>'2029 배당표'!R69</x:f>
        <x:v>8</x:v>
      </x:c>
      <x:c r="M11" s="284" t="n">
        <x:f>'2029 배당표'!S69</x:f>
        <x:v>24</x:v>
      </x:c>
      <x:c r="N11" s="191"/>
      <x:c r="O11" s="188"/>
      <x:c r="P11" s="188"/>
      <x:c r="Q11" s="188"/>
      <x:c r="R11" s="184"/>
    </x:row>
    <x:row r="12" ht="17" customHeight="1">
      <x:c r="A12" s="176"/>
      <x:c r="B12" s="283"/>
      <x:c r="C12" s="283" t="str">
        <x:f>'2029 배당표'!C71</x:f>
        <x:v>통합</x:v>
      </x:c>
      <x:c r="D12" s="283" t="str">
        <x:f>'2029 배당표'!D71</x:f>
        <x:v>통합과학1</x:v>
      </x:c>
      <x:c r="E12" s="190" t="n">
        <x:f>'2029 배당표'!E71</x:f>
        <x:v>4</x:v>
      </x:c>
      <x:c r="F12" s="187" t="n">
        <x:f>'2029 배당표'!F71</x:f>
        <x:v>1</x:v>
      </x:c>
      <x:c r="G12" s="284" t="n">
        <x:f>'2029 배당표'!G71</x:f>
        <x:v>4</x:v>
      </x:c>
      <x:c r="H12" s="190"/>
      <x:c r="I12" s="187"/>
      <x:c r="J12" s="284"/>
      <x:c r="K12" s="190"/>
      <x:c r="L12" s="187"/>
      <x:c r="M12" s="284"/>
      <x:c r="N12" s="191"/>
      <x:c r="O12" s="188"/>
      <x:c r="P12" s="188"/>
      <x:c r="Q12" s="188"/>
      <x:c r="R12" s="184"/>
    </x:row>
    <x:row r="13" ht="17" customHeight="1">
      <x:c r="A13" s="176"/>
      <x:c r="B13" s="283"/>
      <x:c r="C13" s="283" t="str">
        <x:f>'2029 배당표'!C72</x:f>
        <x:v>실험</x:v>
      </x:c>
      <x:c r="D13" s="283" t="str">
        <x:f>'2029 배당표'!D72</x:f>
        <x:v>과학탐구실험1</x:v>
      </x:c>
      <x:c r="E13" s="190" t="n">
        <x:f>'2029 배당표'!E72</x:f>
        <x:v>1</x:v>
      </x:c>
      <x:c r="F13" s="187" t="n">
        <x:f>'2029 배당표'!F72</x:f>
        <x:v>2</x:v>
      </x:c>
      <x:c r="G13" s="284" t="n">
        <x:f>'2029 배당표'!G72</x:f>
        <x:v>2</x:v>
      </x:c>
      <x:c r="H13" s="190"/>
      <x:c r="I13" s="187"/>
      <x:c r="J13" s="284"/>
      <x:c r="K13" s="190"/>
      <x:c r="L13" s="187"/>
      <x:c r="M13" s="284"/>
      <x:c r="N13" s="191"/>
      <x:c r="O13" s="188"/>
      <x:c r="P13" s="188"/>
      <x:c r="Q13" s="188"/>
      <x:c r="R13" s="184"/>
    </x:row>
    <x:row r="14" ht="17" customHeight="1">
      <x:c r="A14" s="176"/>
      <x:c r="B14" s="300" t="str">
        <x:v>생물</x:v>
      </x:c>
      <x:c r="C14" s="295" t="str">
        <x:f>'2029 배당표'!C79</x:f>
        <x:v>자체</x:v>
      </x:c>
      <x:c r="D14" s="295" t="str">
        <x:f>'2029 배당표'!D79</x:f>
        <x:v>생명과학</x:v>
      </x:c>
      <x:c r="E14" s="203"/>
      <x:c r="F14" s="204"/>
      <x:c r="G14" s="296"/>
      <x:c r="H14" s="203" t="n">
        <x:f>'2029 배당표'!K79</x:f>
        <x:v>3</x:v>
      </x:c>
      <x:c r="I14" s="204" t="n">
        <x:f>'2029 배당표'!L79</x:f>
        <x:v>5</x:v>
      </x:c>
      <x:c r="J14" s="296" t="n">
        <x:f>'2029 배당표'!M79</x:f>
        <x:v>15</x:v>
      </x:c>
      <x:c r="K14" s="203"/>
      <x:c r="L14" s="204"/>
      <x:c r="M14" s="296"/>
      <x:c r="N14" s="297" t="n">
        <x:f>'2029 배당표'!W78</x:f>
        <x:v>3</x:v>
      </x:c>
      <x:c r="O14" s="298" t="n">
        <x:f>'2029 배당표'!X78</x:f>
        <x:v>33</x:v>
      </x:c>
      <x:c r="P14" s="298" t="n">
        <x:f>'2029 배당표'!Y78</x:f>
        <x:v>12</x:v>
      </x:c>
      <x:c r="Q14" s="298" t="n">
        <x:f>'2029 배당표'!Z78</x:f>
        <x:v>45</x:v>
      </x:c>
      <x:c r="R14" s="299" t="n">
        <x:f>'2029 배당표'!AA78</x:f>
        <x:v>15</x:v>
      </x:c>
    </x:row>
    <x:row r="15" ht="17" customHeight="1">
      <x:c r="A15" s="176"/>
      <x:c r="B15" s="283"/>
      <x:c r="C15" s="283" t="str">
        <x:f>'2029 배당표'!C80</x:f>
        <x:v>자체</x:v>
      </x:c>
      <x:c r="D15" s="283" t="str">
        <x:f>'2029 배당표'!D80</x:f>
        <x:v>세포와 물질대사</x:v>
      </x:c>
      <x:c r="E15" s="190"/>
      <x:c r="F15" s="187"/>
      <x:c r="G15" s="284"/>
      <x:c r="H15" s="190"/>
      <x:c r="I15" s="187"/>
      <x:c r="J15" s="284"/>
      <x:c r="K15" s="190" t="n">
        <x:f>'2029 배당표'!Q80</x:f>
        <x:v>3</x:v>
      </x:c>
      <x:c r="L15" s="187" t="n">
        <x:f>'2029 배당표'!R80</x:f>
        <x:v>6</x:v>
      </x:c>
      <x:c r="M15" s="284" t="n">
        <x:f>'2029 배당표'!S80</x:f>
        <x:v>18</x:v>
      </x:c>
      <x:c r="N15" s="191"/>
      <x:c r="O15" s="188"/>
      <x:c r="P15" s="188"/>
      <x:c r="Q15" s="188"/>
      <x:c r="R15" s="184"/>
    </x:row>
    <x:row r="16" ht="17" customHeight="1">
      <x:c r="A16" s="176"/>
      <x:c r="B16" s="283"/>
      <x:c r="C16" s="283" t="str">
        <x:f>'2029 배당표'!C82</x:f>
        <x:v>통합</x:v>
      </x:c>
      <x:c r="D16" s="283" t="str">
        <x:f>'2029 배당표'!D82</x:f>
        <x:v>통합과학1</x:v>
      </x:c>
      <x:c r="E16" s="190" t="n">
        <x:f>'2029 배당표'!E82</x:f>
        <x:v>4</x:v>
      </x:c>
      <x:c r="F16" s="187" t="n">
        <x:f>'2029 배당표'!F82</x:f>
        <x:v>2</x:v>
      </x:c>
      <x:c r="G16" s="284" t="n">
        <x:f>'2029 배당표'!G82</x:f>
        <x:v>8</x:v>
      </x:c>
      <x:c r="H16" s="190"/>
      <x:c r="I16" s="187"/>
      <x:c r="J16" s="284"/>
      <x:c r="K16" s="190"/>
      <x:c r="L16" s="187"/>
      <x:c r="M16" s="284"/>
      <x:c r="N16" s="191"/>
      <x:c r="O16" s="188"/>
      <x:c r="P16" s="188"/>
      <x:c r="Q16" s="188"/>
      <x:c r="R16" s="184"/>
    </x:row>
    <x:row r="17" ht="17" customHeight="1">
      <x:c r="A17" s="176"/>
      <x:c r="B17" s="283"/>
      <x:c r="C17" s="283" t="str">
        <x:f>'2029 배당표'!C83</x:f>
        <x:v>실험</x:v>
      </x:c>
      <x:c r="D17" s="283" t="str">
        <x:f>'2029 배당표'!D83</x:f>
        <x:v>과학탐구실험1</x:v>
      </x:c>
      <x:c r="E17" s="190" t="n">
        <x:f>'2029 배당표'!E83</x:f>
        <x:v>1</x:v>
      </x:c>
      <x:c r="F17" s="187" t="n">
        <x:f>'2029 배당표'!F83</x:f>
        <x:v>4</x:v>
      </x:c>
      <x:c r="G17" s="284" t="n">
        <x:f>'2029 배당표'!G83</x:f>
        <x:v>4</x:v>
      </x:c>
      <x:c r="H17" s="190"/>
      <x:c r="I17" s="187"/>
      <x:c r="J17" s="284"/>
      <x:c r="K17" s="190"/>
      <x:c r="L17" s="187"/>
      <x:c r="M17" s="284"/>
      <x:c r="N17" s="191"/>
      <x:c r="O17" s="188"/>
      <x:c r="P17" s="188"/>
      <x:c r="Q17" s="188"/>
      <x:c r="R17" s="184"/>
    </x:row>
    <x:row r="18" ht="17" customHeight="1">
      <x:c r="A18" s="176"/>
      <x:c r="B18" s="300" t="str">
        <x:v>지구과학</x:v>
      </x:c>
      <x:c r="C18" s="295" t="str">
        <x:f>'2029 배당표'!C90</x:f>
        <x:v>자체</x:v>
      </x:c>
      <x:c r="D18" s="295" t="str">
        <x:f>'2029 배당표'!D90</x:f>
        <x:v>지구과학</x:v>
      </x:c>
      <x:c r="E18" s="203"/>
      <x:c r="F18" s="204"/>
      <x:c r="G18" s="296"/>
      <x:c r="H18" s="203" t="n">
        <x:f>'2029 배당표'!K90</x:f>
        <x:v>3</x:v>
      </x:c>
      <x:c r="I18" s="204" t="n">
        <x:f>'2029 배당표'!L90</x:f>
        <x:v>4</x:v>
      </x:c>
      <x:c r="J18" s="296" t="n">
        <x:f>'2029 배당표'!M90</x:f>
        <x:v>12</x:v>
      </x:c>
      <x:c r="K18" s="203"/>
      <x:c r="L18" s="204"/>
      <x:c r="M18" s="296"/>
      <x:c r="N18" s="297" t="n">
        <x:f>'2029 배당표'!W89</x:f>
        <x:v>3</x:v>
      </x:c>
      <x:c r="O18" s="298" t="n">
        <x:f>'2029 배당표'!X89</x:f>
        <x:v>12</x:v>
      </x:c>
      <x:c r="P18" s="298" t="n">
        <x:f>'2029 배당표'!Y89</x:f>
        <x:v>33</x:v>
      </x:c>
      <x:c r="Q18" s="298" t="n">
        <x:f>'2029 배당표'!Z89</x:f>
        <x:v>45</x:v>
      </x:c>
      <x:c r="R18" s="299" t="n">
        <x:f>'2029 배당표'!AA89</x:f>
        <x:v>15</x:v>
      </x:c>
    </x:row>
    <x:row r="19" ht="17" customHeight="1">
      <x:c r="A19" s="176"/>
      <x:c r="B19" s="283"/>
      <x:c r="C19" s="283" t="str">
        <x:f>'2029 배당표'!C93</x:f>
        <x:v>통합</x:v>
      </x:c>
      <x:c r="D19" s="283" t="str">
        <x:f>'2029 배당표'!D93</x:f>
        <x:v>통합과학1</x:v>
      </x:c>
      <x:c r="E19" s="190" t="n">
        <x:f>'2029 배당표'!E93</x:f>
        <x:v>4</x:v>
      </x:c>
      <x:c r="F19" s="187" t="n">
        <x:f>'2029 배당표'!F93</x:f>
        <x:v>7</x:v>
      </x:c>
      <x:c r="G19" s="284" t="n">
        <x:f>'2029 배당표'!G93</x:f>
        <x:v>28</x:v>
      </x:c>
      <x:c r="H19" s="190"/>
      <x:c r="I19" s="187"/>
      <x:c r="J19" s="284"/>
      <x:c r="K19" s="190"/>
      <x:c r="L19" s="187"/>
      <x:c r="M19" s="284"/>
      <x:c r="N19" s="191"/>
      <x:c r="O19" s="188"/>
      <x:c r="P19" s="188"/>
      <x:c r="Q19" s="188"/>
      <x:c r="R19" s="184"/>
    </x:row>
    <x:row r="20" ht="17" customHeight="1">
      <x:c r="A20" s="176"/>
      <x:c r="B20" s="283"/>
      <x:c r="C20" s="283" t="str">
        <x:f>'2029 배당표'!C94</x:f>
        <x:v>실험</x:v>
      </x:c>
      <x:c r="D20" s="283" t="str">
        <x:f>'2029 배당표'!D94</x:f>
        <x:v>과학탐구실험1</x:v>
      </x:c>
      <x:c r="E20" s="190" t="n">
        <x:f>'2029 배당표'!E94</x:f>
        <x:v>1</x:v>
      </x:c>
      <x:c r="F20" s="187" t="n">
        <x:f>'2029 배당표'!F94</x:f>
        <x:v>5</x:v>
      </x:c>
      <x:c r="G20" s="284" t="n">
        <x:f>'2029 배당표'!G94</x:f>
        <x:v>5</x:v>
      </x:c>
      <x:c r="H20" s="190"/>
      <x:c r="I20" s="187"/>
      <x:c r="J20" s="284"/>
      <x:c r="K20" s="190"/>
      <x:c r="L20" s="187"/>
      <x:c r="M20" s="284"/>
      <x:c r="N20" s="191"/>
      <x:c r="O20" s="188"/>
      <x:c r="P20" s="188"/>
      <x:c r="Q20" s="188"/>
      <x:c r="R20" s="184"/>
    </x:row>
    <x:row r="21" ht="18" customHeight="1">
      <x:c r="A21" s="176"/>
      <x:c r="B21" s="305" t="str">
        <x:v>과학 전체</x:v>
      </x:c>
      <x:c r="C21" s="304"/>
      <x:c r="D21" s="304"/>
      <x:c r="E21" s="304"/>
      <x:c r="F21" s="304"/>
      <x:c r="G21" s="304" t="n">
        <x:f>SUM(G6:G20)</x:f>
        <x:v>60</x:v>
      </x:c>
      <x:c r="H21" s="304"/>
      <x:c r="I21" s="304"/>
      <x:c r="J21" s="304" t="n">
        <x:f>SUM(J6:J20)</x:f>
        <x:v>54</x:v>
      </x:c>
      <x:c r="K21" s="304"/>
      <x:c r="L21" s="304"/>
      <x:c r="M21" s="304" t="n">
        <x:f>SUM(M6:M20)</x:f>
        <x:v>51</x:v>
      </x:c>
      <x:c r="N21" s="304" t="n">
        <x:f>'2029 배당표'!W101</x:f>
        <x:v>11</x:v>
      </x:c>
      <x:c r="O21" s="304" t="n">
        <x:f>'2029 배당표'!X101</x:f>
        <x:v>105</x:v>
      </x:c>
      <x:c r="P21" s="304" t="n">
        <x:f>'2029 배당표'!Y101</x:f>
        <x:v>60</x:v>
      </x:c>
      <x:c r="Q21" s="304" t="n">
        <x:f>'2029 배당표'!Z101</x:f>
        <x:v>165</x:v>
      </x:c>
      <x:c r="R21" s="306" t="n">
        <x:f>'2029 배당표'!AA101</x:f>
        <x:v>15</x:v>
      </x:c>
    </x:row>
    <x:row r="22" ht="12" customHeight="1">
      <x:c r="A22" s="176"/>
      <x:c r="B22" s="216" t="str">
        <x:v>경제 57명·택3 선택비율로 보정한 가정안. 2027 입학생부터 12학급, 교사 수는 2026학년도 정원 참고값입니다.</x:v>
      </x:c>
      <x:c r="C22" s="216"/>
      <x:c r="D22" s="216"/>
      <x:c r="E22" s="216"/>
      <x:c r="F22" s="216"/>
      <x:c r="G22" s="216"/>
      <x:c r="H22" s="216"/>
      <x:c r="I22" s="216"/>
      <x:c r="J22" s="216"/>
      <x:c r="K22" s="216"/>
      <x:c r="L22" s="216"/>
      <x:c r="M22" s="216"/>
      <x:c r="N22" s="216"/>
      <x:c r="O22" s="216"/>
      <x:c r="P22" s="216"/>
      <x:c r="Q22" s="216"/>
      <x:c r="R22" s="216"/>
    </x:row>
    <x:row r="23" ht="12" customHeight="1">
      <x:c r="A23" s="176"/>
      <x:c r="B23" s="216" t="str">
        <x:f>IF(SUM(G21,J21,M21)=Q21,"교육과정상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23" s="216"/>
      <x:c r="D23" s="216"/>
      <x:c r="E23" s="216"/>
      <x:c r="F23" s="216"/>
      <x:c r="G23" s="216"/>
      <x:c r="H23" s="216"/>
      <x:c r="I23" s="216"/>
      <x:c r="J23" s="216"/>
      <x:c r="K23" s="216"/>
      <x:c r="L23" s="216"/>
      <x:c r="M23" s="216"/>
      <x:c r="N23" s="216"/>
      <x:c r="O23" s="216"/>
      <x:c r="P23" s="216"/>
      <x:c r="Q23" s="216"/>
      <x:c r="R23" s="216"/>
    </x:row>
    <x:row r="24" ht="17" customHeight="1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</x:row>
    <x:row r="25" ht="17" customHeight="1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</x:row>
    <x:row r="26" ht="24" customHeight="1">
      <x:c r="A26" s="176"/>
      <x:c r="B26" s="177" t="str">
        <x:v>2029학년도 과학 주간수업 배당표</x:v>
      </x:c>
      <x:c r="C26" s="177"/>
      <x:c r="D26" s="177"/>
      <x:c r="E26" s="177"/>
      <x:c r="F26" s="177"/>
      <x:c r="G26" s="177"/>
      <x:c r="H26" s="177"/>
      <x:c r="I26" s="177"/>
      <x:c r="J26" s="177"/>
      <x:c r="K26" s="177"/>
      <x:c r="L26" s="177"/>
      <x:c r="M26" s="177"/>
      <x:c r="N26" s="177"/>
      <x:c r="O26" s="177"/>
      <x:c r="P26" s="177"/>
      <x:c r="Q26" s="177"/>
      <x:c r="R26" s="177"/>
    </x:row>
    <x:row r="27" ht="16" customHeight="1">
      <x:c r="A27" s="176"/>
      <x:c r="B27" s="178" t="str">
        <x:v>1학기  /  변경안  /  단위: 시간·주, 반, 명</x:v>
      </x:c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</x:row>
    <x:row r="28" ht="22" customHeight="1">
      <x:c r="A28" s="176"/>
      <x:c r="B28" s="282" t="str">
        <x:v>담당
교과</x:v>
      </x:c>
      <x:c r="C28" s="282" t="str">
        <x:v>구분</x:v>
      </x:c>
      <x:c r="D28" s="282" t="str">
        <x:v>과목명</x:v>
      </x:c>
      <x:c r="E28" s="282" t="str">
        <x:v>1학년 (12학급)</x:v>
      </x:c>
      <x:c r="F28" s="282"/>
      <x:c r="G28" s="282"/>
      <x:c r="H28" s="282" t="str">
        <x:v>2학년 (12학급)</x:v>
      </x:c>
      <x:c r="I28" s="282"/>
      <x:c r="J28" s="282"/>
      <x:c r="K28" s="282" t="str">
        <x:v>3학년 (12학급)</x:v>
      </x:c>
      <x:c r="L28" s="282"/>
      <x:c r="M28" s="282"/>
      <x:c r="N28" s="282" t="str">
        <x:v>교사
수</x:v>
      </x:c>
      <x:c r="O28" s="282" t="str">
        <x:v>자체
시수</x:v>
      </x:c>
      <x:c r="P28" s="282" t="str">
        <x:v>배정
시수</x:v>
      </x:c>
      <x:c r="Q28" s="282" t="str">
        <x:v>교과
총시수</x:v>
      </x:c>
      <x:c r="R28" s="282" t="str">
        <x:v>교사 1인
평균</x:v>
      </x:c>
    </x:row>
    <x:row r="29" ht="22" customHeight="1">
      <x:c r="A29" s="176"/>
      <x:c r="B29" s="282"/>
      <x:c r="C29" s="282"/>
      <x:c r="D29" s="282"/>
      <x:c r="E29" s="282" t="str">
        <x:v>반당
시수</x:v>
      </x:c>
      <x:c r="F29" s="282" t="str">
        <x:v>개설
반 수</x:v>
      </x:c>
      <x:c r="G29" s="282" t="str">
        <x:v>교과
시수</x:v>
      </x:c>
      <x:c r="H29" s="282" t="str">
        <x:v>반당
시수</x:v>
      </x:c>
      <x:c r="I29" s="282" t="str">
        <x:v>개설
반 수</x:v>
      </x:c>
      <x:c r="J29" s="282" t="str">
        <x:v>교과
시수</x:v>
      </x:c>
      <x:c r="K29" s="282" t="str">
        <x:v>반당
시수</x:v>
      </x:c>
      <x:c r="L29" s="282" t="str">
        <x:v>개설
반 수</x:v>
      </x:c>
      <x:c r="M29" s="282" t="str">
        <x:v>교과
시수</x:v>
      </x:c>
      <x:c r="N29" s="282"/>
      <x:c r="O29" s="282"/>
      <x:c r="P29" s="282"/>
      <x:c r="Q29" s="282"/>
      <x:c r="R29" s="282"/>
    </x:row>
    <x:row r="30" ht="17" customHeight="1">
      <x:c r="A30" s="176"/>
      <x:c r="B30" s="300" t="str">
        <x:v>물리</x:v>
      </x:c>
      <x:c r="C30" s="295" t="str">
        <x:f>'2029 배당표'!C154</x:f>
        <x:v>자체</x:v>
      </x:c>
      <x:c r="D30" s="295" t="str">
        <x:f>'2029 배당표'!D154</x:f>
        <x:v>물리학</x:v>
      </x:c>
      <x:c r="E30" s="203"/>
      <x:c r="F30" s="204"/>
      <x:c r="G30" s="296"/>
      <x:c r="H30" s="203" t="n">
        <x:f>'2029 배당표'!K154</x:f>
        <x:v>3</x:v>
      </x:c>
      <x:c r="I30" s="204" t="n">
        <x:f>'2029 배당표'!L154</x:f>
        <x:v>4</x:v>
      </x:c>
      <x:c r="J30" s="296" t="n">
        <x:f>'2029 배당표'!M154</x:f>
        <x:v>12</x:v>
      </x:c>
      <x:c r="K30" s="203"/>
      <x:c r="L30" s="204"/>
      <x:c r="M30" s="296"/>
      <x:c r="N30" s="297" t="n">
        <x:f>'2029 배당표'!W153</x:f>
        <x:v>2</x:v>
      </x:c>
      <x:c r="O30" s="298" t="n">
        <x:f>'2029 배당표'!X153</x:f>
        <x:v>18</x:v>
      </x:c>
      <x:c r="P30" s="298" t="n">
        <x:f>'2029 배당표'!Y153</x:f>
        <x:v>11</x:v>
      </x:c>
      <x:c r="Q30" s="298" t="n">
        <x:f>'2029 배당표'!Z153</x:f>
        <x:v>29</x:v>
      </x:c>
      <x:c r="R30" s="299" t="n">
        <x:f>'2029 배당표'!AA153</x:f>
        <x:v>14.5</x:v>
      </x:c>
    </x:row>
    <x:row r="31" ht="17" customHeight="1">
      <x:c r="A31" s="176"/>
      <x:c r="B31" s="283"/>
      <x:c r="C31" s="283" t="str">
        <x:f>'2029 배당표'!C155</x:f>
        <x:v>자체</x:v>
      </x:c>
      <x:c r="D31" s="283" t="str">
        <x:f>'2029 배당표'!D155</x:f>
        <x:v>전자기와 양자</x:v>
      </x:c>
      <x:c r="E31" s="190"/>
      <x:c r="F31" s="187"/>
      <x:c r="G31" s="284"/>
      <x:c r="H31" s="190"/>
      <x:c r="I31" s="187"/>
      <x:c r="J31" s="284"/>
      <x:c r="K31" s="190" t="n">
        <x:f>'2029 배당표'!Q155</x:f>
        <x:v>3</x:v>
      </x:c>
      <x:c r="L31" s="187" t="n">
        <x:f>'2029 배당표'!R155</x:f>
        <x:v>2</x:v>
      </x:c>
      <x:c r="M31" s="284" t="n">
        <x:f>'2029 배당표'!S155</x:f>
        <x:v>6</x:v>
      </x:c>
      <x:c r="N31" s="191"/>
      <x:c r="O31" s="188"/>
      <x:c r="P31" s="188"/>
      <x:c r="Q31" s="188"/>
      <x:c r="R31" s="184"/>
    </x:row>
    <x:row r="32" ht="17" customHeight="1">
      <x:c r="A32" s="176"/>
      <x:c r="B32" s="283"/>
      <x:c r="C32" s="283" t="str">
        <x:f>'2029 배당표'!C157</x:f>
        <x:v>통합</x:v>
      </x:c>
      <x:c r="D32" s="283" t="str">
        <x:f>'2029 배당표'!D157</x:f>
        <x:v>통합과학1</x:v>
      </x:c>
      <x:c r="E32" s="190" t="n">
        <x:f>'2029 배당표'!E157</x:f>
        <x:v>4</x:v>
      </x:c>
      <x:c r="F32" s="187" t="n">
        <x:f>'2029 배당표'!F157</x:f>
        <x:v>2</x:v>
      </x:c>
      <x:c r="G32" s="284" t="n">
        <x:f>'2029 배당표'!G157</x:f>
        <x:v>8</x:v>
      </x:c>
      <x:c r="H32" s="190"/>
      <x:c r="I32" s="187"/>
      <x:c r="J32" s="284"/>
      <x:c r="K32" s="190"/>
      <x:c r="L32" s="187"/>
      <x:c r="M32" s="284"/>
      <x:c r="N32" s="191"/>
      <x:c r="O32" s="188"/>
      <x:c r="P32" s="188"/>
      <x:c r="Q32" s="188"/>
      <x:c r="R32" s="184"/>
    </x:row>
    <x:row r="33" ht="17" customHeight="1">
      <x:c r="A33" s="176"/>
      <x:c r="B33" s="283"/>
      <x:c r="C33" s="283" t="str">
        <x:f>'2029 배당표'!C158</x:f>
        <x:v>실험</x:v>
      </x:c>
      <x:c r="D33" s="283" t="str">
        <x:f>'2029 배당표'!D158</x:f>
        <x:v>과학탐구실험1</x:v>
      </x:c>
      <x:c r="E33" s="190" t="n">
        <x:f>'2029 배당표'!E158</x:f>
        <x:v>1</x:v>
      </x:c>
      <x:c r="F33" s="187" t="n">
        <x:f>'2029 배당표'!F158</x:f>
        <x:v>3</x:v>
      </x:c>
      <x:c r="G33" s="284" t="n">
        <x:f>'2029 배당표'!G158</x:f>
        <x:v>3</x:v>
      </x:c>
      <x:c r="H33" s="190"/>
      <x:c r="I33" s="187"/>
      <x:c r="J33" s="284"/>
      <x:c r="K33" s="190"/>
      <x:c r="L33" s="187"/>
      <x:c r="M33" s="284"/>
      <x:c r="N33" s="191"/>
      <x:c r="O33" s="188"/>
      <x:c r="P33" s="188"/>
      <x:c r="Q33" s="188"/>
      <x:c r="R33" s="184"/>
    </x:row>
    <x:row r="34" ht="17" customHeight="1">
      <x:c r="A34" s="176"/>
      <x:c r="B34" s="300" t="str">
        <x:v>화학</x:v>
      </x:c>
      <x:c r="C34" s="295" t="str">
        <x:f>'2029 배당표'!C165</x:f>
        <x:v>자체</x:v>
      </x:c>
      <x:c r="D34" s="295" t="str">
        <x:f>'2029 배당표'!D165</x:f>
        <x:v>화학</x:v>
      </x:c>
      <x:c r="E34" s="203"/>
      <x:c r="F34" s="204"/>
      <x:c r="G34" s="296"/>
      <x:c r="H34" s="203" t="n">
        <x:f>'2029 배당표'!K165</x:f>
        <x:v>3</x:v>
      </x:c>
      <x:c r="I34" s="204" t="n">
        <x:f>'2029 배당표'!L165</x:f>
        <x:v>5</x:v>
      </x:c>
      <x:c r="J34" s="296" t="n">
        <x:f>'2029 배당표'!M165</x:f>
        <x:v>15</x:v>
      </x:c>
      <x:c r="K34" s="203"/>
      <x:c r="L34" s="204"/>
      <x:c r="M34" s="296"/>
      <x:c r="N34" s="297" t="n">
        <x:f>'2029 배당표'!W164</x:f>
        <x:v>3</x:v>
      </x:c>
      <x:c r="O34" s="298" t="n">
        <x:f>'2029 배당표'!X164</x:f>
        <x:v>36</x:v>
      </x:c>
      <x:c r="P34" s="298" t="n">
        <x:f>'2029 배당표'!Y164</x:f>
        <x:v>8</x:v>
      </x:c>
      <x:c r="Q34" s="298" t="n">
        <x:f>'2029 배당표'!Z164</x:f>
        <x:v>44</x:v>
      </x:c>
      <x:c r="R34" s="299" t="n">
        <x:f>'2029 배당표'!AA164</x:f>
        <x:v>14.666666666666666</x:v>
      </x:c>
    </x:row>
    <x:row r="35" ht="17" customHeight="1">
      <x:c r="A35" s="176"/>
      <x:c r="B35" s="283"/>
      <x:c r="C35" s="283" t="str">
        <x:f>'2029 배당표'!C166</x:f>
        <x:v>자체</x:v>
      </x:c>
      <x:c r="D35" s="283" t="str">
        <x:f>'2029 배당표'!D166</x:f>
        <x:v>물질과 에너지</x:v>
      </x:c>
      <x:c r="E35" s="190"/>
      <x:c r="F35" s="187"/>
      <x:c r="G35" s="284"/>
      <x:c r="H35" s="190"/>
      <x:c r="I35" s="187"/>
      <x:c r="J35" s="284"/>
      <x:c r="K35" s="190" t="n">
        <x:f>'2029 배당표'!Q166</x:f>
        <x:v>3</x:v>
      </x:c>
      <x:c r="L35" s="187" t="n">
        <x:f>'2029 배당표'!R166</x:f>
        <x:v>7</x:v>
      </x:c>
      <x:c r="M35" s="284" t="n">
        <x:f>'2029 배당표'!S166</x:f>
        <x:v>21</x:v>
      </x:c>
      <x:c r="N35" s="191"/>
      <x:c r="O35" s="188"/>
      <x:c r="P35" s="188"/>
      <x:c r="Q35" s="188"/>
      <x:c r="R35" s="184"/>
    </x:row>
    <x:row r="36" ht="17" customHeight="1">
      <x:c r="A36" s="176"/>
      <x:c r="B36" s="283"/>
      <x:c r="C36" s="283" t="str">
        <x:f>'2029 배당표'!C168</x:f>
        <x:v>통합</x:v>
      </x:c>
      <x:c r="D36" s="283" t="str">
        <x:f>'2029 배당표'!D168</x:f>
        <x:v>통합과학1</x:v>
      </x:c>
      <x:c r="E36" s="190" t="n">
        <x:f>'2029 배당표'!E168</x:f>
        <x:v>4</x:v>
      </x:c>
      <x:c r="F36" s="187" t="n">
        <x:f>'2029 배당표'!F168</x:f>
        <x:v>1</x:v>
      </x:c>
      <x:c r="G36" s="284" t="n">
        <x:f>'2029 배당표'!G168</x:f>
        <x:v>4</x:v>
      </x:c>
      <x:c r="H36" s="190"/>
      <x:c r="I36" s="187"/>
      <x:c r="J36" s="284"/>
      <x:c r="K36" s="190"/>
      <x:c r="L36" s="187"/>
      <x:c r="M36" s="284"/>
      <x:c r="N36" s="191"/>
      <x:c r="O36" s="188"/>
      <x:c r="P36" s="188"/>
      <x:c r="Q36" s="188"/>
      <x:c r="R36" s="184"/>
    </x:row>
    <x:row r="37" ht="17" customHeight="1">
      <x:c r="A37" s="176"/>
      <x:c r="B37" s="283"/>
      <x:c r="C37" s="283" t="str">
        <x:f>'2029 배당표'!C169</x:f>
        <x:v>실험</x:v>
      </x:c>
      <x:c r="D37" s="283" t="str">
        <x:f>'2029 배당표'!D169</x:f>
        <x:v>과학탐구실험1</x:v>
      </x:c>
      <x:c r="E37" s="190" t="n">
        <x:f>'2029 배당표'!E169</x:f>
        <x:v>1</x:v>
      </x:c>
      <x:c r="F37" s="187" t="n">
        <x:f>'2029 배당표'!F169</x:f>
        <x:v>4</x:v>
      </x:c>
      <x:c r="G37" s="284" t="n">
        <x:f>'2029 배당표'!G169</x:f>
        <x:v>4</x:v>
      </x:c>
      <x:c r="H37" s="190"/>
      <x:c r="I37" s="187"/>
      <x:c r="J37" s="284"/>
      <x:c r="K37" s="190"/>
      <x:c r="L37" s="187"/>
      <x:c r="M37" s="284"/>
      <x:c r="N37" s="191"/>
      <x:c r="O37" s="188"/>
      <x:c r="P37" s="188"/>
      <x:c r="Q37" s="188"/>
      <x:c r="R37" s="184"/>
    </x:row>
    <x:row r="38" ht="17" customHeight="1">
      <x:c r="A38" s="176"/>
      <x:c r="B38" s="300" t="str">
        <x:v>생물</x:v>
      </x:c>
      <x:c r="C38" s="295" t="str">
        <x:f>'2029 배당표'!C176</x:f>
        <x:v>자체</x:v>
      </x:c>
      <x:c r="D38" s="295" t="str">
        <x:f>'2029 배당표'!D176</x:f>
        <x:v>생명과학</x:v>
      </x:c>
      <x:c r="E38" s="203"/>
      <x:c r="F38" s="204"/>
      <x:c r="G38" s="296"/>
      <x:c r="H38" s="203" t="n">
        <x:f>'2029 배당표'!K176</x:f>
        <x:v>3</x:v>
      </x:c>
      <x:c r="I38" s="204" t="n">
        <x:f>'2029 배당표'!L176</x:f>
        <x:v>5</x:v>
      </x:c>
      <x:c r="J38" s="296" t="n">
        <x:f>'2029 배당표'!M176</x:f>
        <x:v>15</x:v>
      </x:c>
      <x:c r="K38" s="203"/>
      <x:c r="L38" s="204"/>
      <x:c r="M38" s="296"/>
      <x:c r="N38" s="297" t="n">
        <x:f>'2029 배당표'!W175</x:f>
        <x:v>3</x:v>
      </x:c>
      <x:c r="O38" s="298" t="n">
        <x:f>'2029 배당표'!X175</x:f>
        <x:v>33</x:v>
      </x:c>
      <x:c r="P38" s="298" t="n">
        <x:f>'2029 배당표'!Y175</x:f>
        <x:v>10</x:v>
      </x:c>
      <x:c r="Q38" s="298" t="n">
        <x:f>'2029 배당표'!Z175</x:f>
        <x:v>43</x:v>
      </x:c>
      <x:c r="R38" s="299" t="n">
        <x:f>'2029 배당표'!AA175</x:f>
        <x:v>14.333333333333334</x:v>
      </x:c>
    </x:row>
    <x:row r="39" ht="17" customHeight="1">
      <x:c r="A39" s="176"/>
      <x:c r="B39" s="283"/>
      <x:c r="C39" s="283" t="str">
        <x:f>'2029 배당표'!C177</x:f>
        <x:v>자체</x:v>
      </x:c>
      <x:c r="D39" s="283" t="str">
        <x:f>'2029 배당표'!D177</x:f>
        <x:v>세포와 물질대사</x:v>
      </x:c>
      <x:c r="E39" s="190"/>
      <x:c r="F39" s="187"/>
      <x:c r="G39" s="284"/>
      <x:c r="H39" s="190"/>
      <x:c r="I39" s="187"/>
      <x:c r="J39" s="284"/>
      <x:c r="K39" s="190" t="n">
        <x:f>'2029 배당표'!Q177</x:f>
        <x:v>3</x:v>
      </x:c>
      <x:c r="L39" s="187" t="n">
        <x:f>'2029 배당표'!R177</x:f>
        <x:v>6</x:v>
      </x:c>
      <x:c r="M39" s="284" t="n">
        <x:f>'2029 배당표'!S177</x:f>
        <x:v>18</x:v>
      </x:c>
      <x:c r="N39" s="191"/>
      <x:c r="O39" s="188"/>
      <x:c r="P39" s="188"/>
      <x:c r="Q39" s="188"/>
      <x:c r="R39" s="184"/>
    </x:row>
    <x:row r="40" ht="17" customHeight="1">
      <x:c r="A40" s="176"/>
      <x:c r="B40" s="283"/>
      <x:c r="C40" s="283" t="str">
        <x:f>'2029 배당표'!C179</x:f>
        <x:v>통합</x:v>
      </x:c>
      <x:c r="D40" s="283" t="str">
        <x:f>'2029 배당표'!D179</x:f>
        <x:v>통합과학1</x:v>
      </x:c>
      <x:c r="E40" s="190" t="n">
        <x:f>'2029 배당표'!E179</x:f>
        <x:v>4</x:v>
      </x:c>
      <x:c r="F40" s="187" t="n">
        <x:f>'2029 배당표'!F179</x:f>
        <x:v>2</x:v>
      </x:c>
      <x:c r="G40" s="284" t="n">
        <x:f>'2029 배당표'!G179</x:f>
        <x:v>8</x:v>
      </x:c>
      <x:c r="H40" s="190"/>
      <x:c r="I40" s="187"/>
      <x:c r="J40" s="284"/>
      <x:c r="K40" s="190"/>
      <x:c r="L40" s="187"/>
      <x:c r="M40" s="284"/>
      <x:c r="N40" s="191"/>
      <x:c r="O40" s="188"/>
      <x:c r="P40" s="188"/>
      <x:c r="Q40" s="188"/>
      <x:c r="R40" s="184"/>
    </x:row>
    <x:row r="41" ht="17" customHeight="1">
      <x:c r="A41" s="176"/>
      <x:c r="B41" s="283"/>
      <x:c r="C41" s="283" t="str">
        <x:f>'2029 배당표'!C180</x:f>
        <x:v>실험</x:v>
      </x:c>
      <x:c r="D41" s="283" t="str">
        <x:f>'2029 배당표'!D180</x:f>
        <x:v>과학탐구실험1</x:v>
      </x:c>
      <x:c r="E41" s="190" t="n">
        <x:f>'2029 배당표'!E180</x:f>
        <x:v>1</x:v>
      </x:c>
      <x:c r="F41" s="187" t="n">
        <x:f>'2029 배당표'!F180</x:f>
        <x:v>2</x:v>
      </x:c>
      <x:c r="G41" s="284" t="n">
        <x:f>'2029 배당표'!G180</x:f>
        <x:v>2</x:v>
      </x:c>
      <x:c r="H41" s="190"/>
      <x:c r="I41" s="187"/>
      <x:c r="J41" s="284"/>
      <x:c r="K41" s="190"/>
      <x:c r="L41" s="187"/>
      <x:c r="M41" s="284"/>
      <x:c r="N41" s="191"/>
      <x:c r="O41" s="188"/>
      <x:c r="P41" s="188"/>
      <x:c r="Q41" s="188"/>
      <x:c r="R41" s="184"/>
    </x:row>
    <x:row r="42" ht="17" customHeight="1">
      <x:c r="A42" s="176"/>
      <x:c r="B42" s="300" t="str">
        <x:v>지구과학</x:v>
      </x:c>
      <x:c r="C42" s="295" t="str">
        <x:f>'2029 배당표'!C187</x:f>
        <x:v>자체</x:v>
      </x:c>
      <x:c r="D42" s="295" t="str">
        <x:f>'2029 배당표'!D187</x:f>
        <x:v>지구과학</x:v>
      </x:c>
      <x:c r="E42" s="203"/>
      <x:c r="F42" s="204"/>
      <x:c r="G42" s="296"/>
      <x:c r="H42" s="203" t="n">
        <x:f>'2029 배당표'!K187</x:f>
        <x:v>3</x:v>
      </x:c>
      <x:c r="I42" s="204" t="n">
        <x:f>'2029 배당표'!L187</x:f>
        <x:v>4</x:v>
      </x:c>
      <x:c r="J42" s="296" t="n">
        <x:f>'2029 배당표'!M187</x:f>
        <x:v>12</x:v>
      </x:c>
      <x:c r="K42" s="203"/>
      <x:c r="L42" s="204"/>
      <x:c r="M42" s="296"/>
      <x:c r="N42" s="297" t="n">
        <x:f>'2029 배당표'!W186</x:f>
        <x:v>3</x:v>
      </x:c>
      <x:c r="O42" s="298" t="n">
        <x:f>'2029 배당표'!X186</x:f>
        <x:v>12</x:v>
      </x:c>
      <x:c r="P42" s="298" t="n">
        <x:f>'2029 배당표'!Y186</x:f>
        <x:v>31</x:v>
      </x:c>
      <x:c r="Q42" s="298" t="n">
        <x:f>'2029 배당표'!Z186</x:f>
        <x:v>43</x:v>
      </x:c>
      <x:c r="R42" s="299" t="n">
        <x:f>'2029 배당표'!AA186</x:f>
        <x:v>14.333333333333334</x:v>
      </x:c>
    </x:row>
    <x:row r="43" ht="17" customHeight="1">
      <x:c r="A43" s="176"/>
      <x:c r="B43" s="283"/>
      <x:c r="C43" s="283" t="str">
        <x:f>'2029 배당표'!C190</x:f>
        <x:v>통합</x:v>
      </x:c>
      <x:c r="D43" s="283" t="str">
        <x:f>'2029 배당표'!D190</x:f>
        <x:v>통합과학1</x:v>
      </x:c>
      <x:c r="E43" s="190" t="n">
        <x:f>'2029 배당표'!E190</x:f>
        <x:v>4</x:v>
      </x:c>
      <x:c r="F43" s="187" t="n">
        <x:f>'2029 배당표'!F190</x:f>
        <x:v>7</x:v>
      </x:c>
      <x:c r="G43" s="284" t="n">
        <x:f>'2029 배당표'!G190</x:f>
        <x:v>28</x:v>
      </x:c>
      <x:c r="H43" s="190"/>
      <x:c r="I43" s="187"/>
      <x:c r="J43" s="284"/>
      <x:c r="K43" s="190"/>
      <x:c r="L43" s="187"/>
      <x:c r="M43" s="284"/>
      <x:c r="N43" s="191"/>
      <x:c r="O43" s="188"/>
      <x:c r="P43" s="188"/>
      <x:c r="Q43" s="188"/>
      <x:c r="R43" s="184"/>
    </x:row>
    <x:row r="44" ht="17" customHeight="1">
      <x:c r="A44" s="176"/>
      <x:c r="B44" s="283"/>
      <x:c r="C44" s="283" t="str">
        <x:f>'2029 배당표'!C191</x:f>
        <x:v>실험</x:v>
      </x:c>
      <x:c r="D44" s="283" t="str">
        <x:f>'2029 배당표'!D191</x:f>
        <x:v>과학탐구실험1</x:v>
      </x:c>
      <x:c r="E44" s="190" t="n">
        <x:f>'2029 배당표'!E191</x:f>
        <x:v>1</x:v>
      </x:c>
      <x:c r="F44" s="187" t="n">
        <x:f>'2029 배당표'!F191</x:f>
        <x:v>3</x:v>
      </x:c>
      <x:c r="G44" s="284" t="n">
        <x:f>'2029 배당표'!G191</x:f>
        <x:v>3</x:v>
      </x:c>
      <x:c r="H44" s="190"/>
      <x:c r="I44" s="187"/>
      <x:c r="J44" s="284"/>
      <x:c r="K44" s="190"/>
      <x:c r="L44" s="187"/>
      <x:c r="M44" s="284"/>
      <x:c r="N44" s="191"/>
      <x:c r="O44" s="188"/>
      <x:c r="P44" s="188"/>
      <x:c r="Q44" s="188"/>
      <x:c r="R44" s="184"/>
    </x:row>
    <x:row r="45" ht="18" customHeight="1">
      <x:c r="A45" s="176"/>
      <x:c r="B45" s="305" t="str">
        <x:v>과학 전체</x:v>
      </x:c>
      <x:c r="C45" s="304"/>
      <x:c r="D45" s="304"/>
      <x:c r="E45" s="304"/>
      <x:c r="F45" s="304"/>
      <x:c r="G45" s="304" t="n">
        <x:f>SUM(G30:G44)</x:f>
        <x:v>60</x:v>
      </x:c>
      <x:c r="H45" s="304"/>
      <x:c r="I45" s="304"/>
      <x:c r="J45" s="304" t="n">
        <x:f>SUM(J30:J44)</x:f>
        <x:v>54</x:v>
      </x:c>
      <x:c r="K45" s="304"/>
      <x:c r="L45" s="304"/>
      <x:c r="M45" s="304" t="n">
        <x:f>SUM(M30:M44)</x:f>
        <x:v>45</x:v>
      </x:c>
      <x:c r="N45" s="304" t="n">
        <x:f>'2029 배당표'!W198</x:f>
        <x:v>11</x:v>
      </x:c>
      <x:c r="O45" s="304" t="n">
        <x:f>'2029 배당표'!X198</x:f>
        <x:v>99</x:v>
      </x:c>
      <x:c r="P45" s="304" t="n">
        <x:f>'2029 배당표'!Y198</x:f>
        <x:v>60</x:v>
      </x:c>
      <x:c r="Q45" s="304" t="n">
        <x:f>'2029 배당표'!Z198</x:f>
        <x:v>159</x:v>
      </x:c>
      <x:c r="R45" s="306" t="n">
        <x:f>'2029 배당표'!AA198</x:f>
        <x:v>14.454545454545455</x:v>
      </x:c>
    </x:row>
    <x:row r="46" ht="12" customHeight="1">
      <x:c r="A46" s="176"/>
      <x:c r="B46" s="216" t="str">
        <x:v>경제 57명·택3 선택비율로 보정한 가정안. 2027 입학생부터 12학급, 교사 수는 2026학년도 정원 참고값입니다.</x:v>
      </x:c>
      <x:c r="C46" s="216"/>
      <x:c r="D46" s="216"/>
      <x:c r="E46" s="216"/>
      <x:c r="F46" s="216"/>
      <x:c r="G46" s="216"/>
      <x:c r="H46" s="216"/>
      <x:c r="I46" s="216"/>
      <x:c r="J46" s="216"/>
      <x:c r="K46" s="216"/>
      <x:c r="L46" s="216"/>
      <x:c r="M46" s="216"/>
      <x:c r="N46" s="216"/>
      <x:c r="O46" s="216"/>
      <x:c r="P46" s="216"/>
      <x:c r="Q46" s="216"/>
      <x:c r="R46" s="216"/>
    </x:row>
    <x:row r="47" ht="12" customHeight="1">
      <x:c r="A47" s="176"/>
      <x:c r="B47" s="216" t="str">
        <x:f>IF(SUM(G45,J45,M45)=Q45,"교육과정상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47" s="216"/>
      <x:c r="D47" s="216"/>
      <x:c r="E47" s="216"/>
      <x:c r="F47" s="216"/>
      <x:c r="G47" s="216"/>
      <x:c r="H47" s="216"/>
      <x:c r="I47" s="216"/>
      <x:c r="J47" s="216"/>
      <x:c r="K47" s="216"/>
      <x:c r="L47" s="216"/>
      <x:c r="M47" s="216"/>
      <x:c r="N47" s="216"/>
      <x:c r="O47" s="216"/>
      <x:c r="P47" s="216"/>
      <x:c r="Q47" s="216"/>
      <x:c r="R47" s="216"/>
    </x:row>
    <x:row r="48" ht="17" customHeight="1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</x:row>
    <x:row r="49" ht="17" customHeight="1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</x:row>
    <x:row r="50" ht="24" customHeight="1">
      <x:c r="A50" s="176"/>
      <x:c r="B50" s="177" t="str">
        <x:v>2029학년도 과학 주간수업 배당표</x:v>
      </x:c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177"/>
    </x:row>
    <x:row r="51" ht="16" customHeight="1">
      <x:c r="A51" s="176"/>
      <x:c r="B51" s="178" t="str">
        <x:v>2학기  /  기존안·변경안 공통  /  단위: 시간·주, 반, 명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</x:row>
    <x:row r="52" ht="22" customHeight="1">
      <x:c r="A52" s="176"/>
      <x:c r="B52" s="282" t="str">
        <x:v>담당
교과</x:v>
      </x:c>
      <x:c r="C52" s="282" t="str">
        <x:v>구분</x:v>
      </x:c>
      <x:c r="D52" s="282" t="str">
        <x:v>과목명</x:v>
      </x:c>
      <x:c r="E52" s="282" t="str">
        <x:v>1학년 (12학급)</x:v>
      </x:c>
      <x:c r="F52" s="282"/>
      <x:c r="G52" s="282"/>
      <x:c r="H52" s="282" t="str">
        <x:v>2학년 (12학급)</x:v>
      </x:c>
      <x:c r="I52" s="282"/>
      <x:c r="J52" s="282"/>
      <x:c r="K52" s="282" t="str">
        <x:v>3학년 (12학급)</x:v>
      </x:c>
      <x:c r="L52" s="282"/>
      <x:c r="M52" s="282"/>
      <x:c r="N52" s="282" t="str">
        <x:v>교사
수</x:v>
      </x:c>
      <x:c r="O52" s="282" t="str">
        <x:v>자체
시수</x:v>
      </x:c>
      <x:c r="P52" s="282" t="str">
        <x:v>배정
시수</x:v>
      </x:c>
      <x:c r="Q52" s="282" t="str">
        <x:v>교과
총시수</x:v>
      </x:c>
      <x:c r="R52" s="282" t="str">
        <x:v>교사 1인
평균</x:v>
      </x:c>
    </x:row>
    <x:row r="53" ht="22" customHeight="1">
      <x:c r="A53" s="176"/>
      <x:c r="B53" s="282"/>
      <x:c r="C53" s="282"/>
      <x:c r="D53" s="282"/>
      <x:c r="E53" s="282" t="str">
        <x:v>반당
시수</x:v>
      </x:c>
      <x:c r="F53" s="282" t="str">
        <x:v>개설
반 수</x:v>
      </x:c>
      <x:c r="G53" s="282" t="str">
        <x:v>교과
시수</x:v>
      </x:c>
      <x:c r="H53" s="282" t="str">
        <x:v>반당
시수</x:v>
      </x:c>
      <x:c r="I53" s="282" t="str">
        <x:v>개설
반 수</x:v>
      </x:c>
      <x:c r="J53" s="282" t="str">
        <x:v>교과
시수</x:v>
      </x:c>
      <x:c r="K53" s="282" t="str">
        <x:v>반당
시수</x:v>
      </x:c>
      <x:c r="L53" s="282" t="str">
        <x:v>개설
반 수</x:v>
      </x:c>
      <x:c r="M53" s="282" t="str">
        <x:v>교과
시수</x:v>
      </x:c>
      <x:c r="N53" s="282"/>
      <x:c r="O53" s="282"/>
      <x:c r="P53" s="282"/>
      <x:c r="Q53" s="282"/>
      <x:c r="R53" s="282"/>
    </x:row>
    <x:row r="54" ht="17" customHeight="1">
      <x:c r="A54" s="176"/>
      <x:c r="B54" s="300" t="str">
        <x:v>물리</x:v>
      </x:c>
      <x:c r="C54" s="295" t="str">
        <x:f>'2029 배당표'!C59</x:f>
        <x:v>자체</x:v>
      </x:c>
      <x:c r="D54" s="295" t="str">
        <x:f>'2029 배당표'!D59</x:f>
        <x:v>역학과 에너지</x:v>
      </x:c>
      <x:c r="E54" s="203"/>
      <x:c r="F54" s="204"/>
      <x:c r="G54" s="296"/>
      <x:c r="H54" s="203" t="n">
        <x:f>'2029 배당표'!N59</x:f>
        <x:v>3</x:v>
      </x:c>
      <x:c r="I54" s="204" t="n">
        <x:f>'2029 배당표'!O59</x:f>
        <x:v>4</x:v>
      </x:c>
      <x:c r="J54" s="296" t="n">
        <x:f>'2029 배당표'!P59</x:f>
        <x:v>12</x:v>
      </x:c>
      <x:c r="K54" s="203"/>
      <x:c r="L54" s="204"/>
      <x:c r="M54" s="296"/>
      <x:c r="N54" s="297" t="n">
        <x:f>'2029 배당표'!W56</x:f>
        <x:v>2</x:v>
      </x:c>
      <x:c r="O54" s="298" t="n">
        <x:f>'2029 배당표'!AB56</x:f>
        <x:v>12</x:v>
      </x:c>
      <x:c r="P54" s="298" t="n">
        <x:f>'2029 배당표'!AC56</x:f>
        <x:v>24</x:v>
      </x:c>
      <x:c r="Q54" s="298" t="n">
        <x:f>'2029 배당표'!AD56</x:f>
        <x:v>36</x:v>
      </x:c>
      <x:c r="R54" s="299" t="n">
        <x:f>'2029 배당표'!AE56</x:f>
        <x:v>18</x:v>
      </x:c>
    </x:row>
    <x:row r="55" ht="17" customHeight="1">
      <x:c r="A55" s="176"/>
      <x:c r="B55" s="283"/>
      <x:c r="C55" s="283" t="str">
        <x:f>'2029 배당표'!C62</x:f>
        <x:v>통합</x:v>
      </x:c>
      <x:c r="D55" s="283" t="str">
        <x:f>'2029 배당표'!D62</x:f>
        <x:v>통합과학2</x:v>
      </x:c>
      <x:c r="E55" s="190" t="n">
        <x:f>'2029 배당표'!H62</x:f>
        <x:v>4</x:v>
      </x:c>
      <x:c r="F55" s="187" t="n">
        <x:f>'2029 배당표'!I62</x:f>
        <x:v>3</x:v>
      </x:c>
      <x:c r="G55" s="284" t="n">
        <x:f>'2029 배당표'!J62</x:f>
        <x:v>12</x:v>
      </x:c>
      <x:c r="H55" s="190"/>
      <x:c r="I55" s="187"/>
      <x:c r="J55" s="284"/>
      <x:c r="K55" s="190"/>
      <x:c r="L55" s="187"/>
      <x:c r="M55" s="284"/>
      <x:c r="N55" s="191"/>
      <x:c r="O55" s="188"/>
      <x:c r="P55" s="188"/>
      <x:c r="Q55" s="188"/>
      <x:c r="R55" s="184"/>
    </x:row>
    <x:row r="56" ht="17" customHeight="1">
      <x:c r="A56" s="176"/>
      <x:c r="B56" s="283"/>
      <x:c r="C56" s="283" t="str">
        <x:f>'2029 배당표'!C63</x:f>
        <x:v>실험</x:v>
      </x:c>
      <x:c r="D56" s="283" t="str">
        <x:f>'2029 배당표'!D63</x:f>
        <x:v>과학탐구실험2</x:v>
      </x:c>
      <x:c r="E56" s="190" t="n">
        <x:f>'2029 배당표'!H63</x:f>
        <x:v>1</x:v>
      </x:c>
      <x:c r="F56" s="187" t="n">
        <x:f>'2029 배당표'!I63</x:f>
        <x:v>3</x:v>
      </x:c>
      <x:c r="G56" s="284" t="n">
        <x:f>'2029 배당표'!J63</x:f>
        <x:v>3</x:v>
      </x:c>
      <x:c r="H56" s="190"/>
      <x:c r="I56" s="187"/>
      <x:c r="J56" s="284"/>
      <x:c r="K56" s="190"/>
      <x:c r="L56" s="187"/>
      <x:c r="M56" s="284"/>
      <x:c r="N56" s="191"/>
      <x:c r="O56" s="188"/>
      <x:c r="P56" s="188"/>
      <x:c r="Q56" s="188"/>
      <x:c r="R56" s="184"/>
    </x:row>
    <x:row r="57" ht="17" customHeight="1">
      <x:c r="A57" s="176"/>
      <x:c r="B57" s="283"/>
      <x:c r="C57" s="283" t="str">
        <x:f>'2029 배당표'!C64</x:f>
        <x:v>융합</x:v>
      </x:c>
      <x:c r="D57" s="283" t="str">
        <x:f>'2029 배당표'!D64</x:f>
        <x:v>과학의 역사와 문화</x:v>
      </x:c>
      <x:c r="E57" s="190"/>
      <x:c r="F57" s="187"/>
      <x:c r="G57" s="284"/>
      <x:c r="H57" s="190"/>
      <x:c r="I57" s="187"/>
      <x:c r="J57" s="284"/>
      <x:c r="K57" s="190" t="n">
        <x:f>'2029 배당표'!T64</x:f>
        <x:v>3</x:v>
      </x:c>
      <x:c r="L57" s="187" t="n">
        <x:f>'2029 배당표'!U64</x:f>
        <x:v>2</x:v>
      </x:c>
      <x:c r="M57" s="284" t="n">
        <x:f>'2029 배당표'!V64</x:f>
        <x:v>6</x:v>
      </x:c>
      <x:c r="N57" s="191"/>
      <x:c r="O57" s="188"/>
      <x:c r="P57" s="188"/>
      <x:c r="Q57" s="188"/>
      <x:c r="R57" s="184"/>
    </x:row>
    <x:row r="58" ht="17" customHeight="1">
      <x:c r="A58" s="176"/>
      <x:c r="B58" s="283"/>
      <x:c r="C58" s="283" t="str">
        <x:f>'2029 배당표'!C66</x:f>
        <x:v>융합</x:v>
      </x:c>
      <x:c r="D58" s="283" t="str">
        <x:f>'2029 배당표'!D66</x:f>
        <x:v>융합과학 탐구</x:v>
      </x:c>
      <x:c r="E58" s="190"/>
      <x:c r="F58" s="187"/>
      <x:c r="G58" s="284"/>
      <x:c r="H58" s="190"/>
      <x:c r="I58" s="187"/>
      <x:c r="J58" s="284"/>
      <x:c r="K58" s="190" t="n">
        <x:f>'2029 배당표'!T66</x:f>
        <x:v>3</x:v>
      </x:c>
      <x:c r="L58" s="187" t="n">
        <x:f>'2029 배당표'!U66</x:f>
        <x:v>1</x:v>
      </x:c>
      <x:c r="M58" s="284" t="n">
        <x:f>'2029 배당표'!V66</x:f>
        <x:v>3</x:v>
      </x:c>
      <x:c r="N58" s="191"/>
      <x:c r="O58" s="188"/>
      <x:c r="P58" s="188"/>
      <x:c r="Q58" s="188"/>
      <x:c r="R58" s="184"/>
    </x:row>
    <x:row r="59" ht="17" customHeight="1">
      <x:c r="A59" s="176"/>
      <x:c r="B59" s="300" t="str">
        <x:v>화학</x:v>
      </x:c>
      <x:c r="C59" s="295" t="str">
        <x:f>'2029 배당표'!C70</x:f>
        <x:v>자체</x:v>
      </x:c>
      <x:c r="D59" s="295" t="str">
        <x:f>'2029 배당표'!D70</x:f>
        <x:v>화학 반응의 세계</x:v>
      </x:c>
      <x:c r="E59" s="203"/>
      <x:c r="F59" s="204"/>
      <x:c r="G59" s="296"/>
      <x:c r="H59" s="203" t="n">
        <x:f>'2029 배당표'!N70</x:f>
        <x:v>3</x:v>
      </x:c>
      <x:c r="I59" s="204" t="n">
        <x:f>'2029 배당표'!O70</x:f>
        <x:v>5</x:v>
      </x:c>
      <x:c r="J59" s="296" t="n">
        <x:f>'2029 배당표'!P70</x:f>
        <x:v>15</x:v>
      </x:c>
      <x:c r="K59" s="203"/>
      <x:c r="L59" s="204"/>
      <x:c r="M59" s="296"/>
      <x:c r="N59" s="297" t="n">
        <x:f>'2029 배당표'!W67</x:f>
        <x:v>3</x:v>
      </x:c>
      <x:c r="O59" s="298" t="n">
        <x:f>'2029 배당표'!AB67</x:f>
        <x:v>15</x:v>
      </x:c>
      <x:c r="P59" s="298" t="n">
        <x:f>'2029 배당표'!AC67</x:f>
        <x:v>39</x:v>
      </x:c>
      <x:c r="Q59" s="298" t="n">
        <x:f>'2029 배당표'!AD67</x:f>
        <x:v>54</x:v>
      </x:c>
      <x:c r="R59" s="299" t="n">
        <x:f>'2029 배당표'!AE67</x:f>
        <x:v>18</x:v>
      </x:c>
    </x:row>
    <x:row r="60" ht="17" customHeight="1">
      <x:c r="A60" s="176"/>
      <x:c r="B60" s="283"/>
      <x:c r="C60" s="283" t="str">
        <x:f>'2029 배당표'!C73</x:f>
        <x:v>통합</x:v>
      </x:c>
      <x:c r="D60" s="283" t="str">
        <x:f>'2029 배당표'!D73</x:f>
        <x:v>통합과학2</x:v>
      </x:c>
      <x:c r="E60" s="190" t="n">
        <x:f>'2029 배당표'!H73</x:f>
        <x:v>4</x:v>
      </x:c>
      <x:c r="F60" s="187" t="n">
        <x:f>'2029 배당표'!I73</x:f>
        <x:v>5</x:v>
      </x:c>
      <x:c r="G60" s="284" t="n">
        <x:f>'2029 배당표'!J73</x:f>
        <x:v>20</x:v>
      </x:c>
      <x:c r="H60" s="190"/>
      <x:c r="I60" s="187"/>
      <x:c r="J60" s="284"/>
      <x:c r="K60" s="190"/>
      <x:c r="L60" s="187"/>
      <x:c r="M60" s="284"/>
      <x:c r="N60" s="191"/>
      <x:c r="O60" s="188"/>
      <x:c r="P60" s="188"/>
      <x:c r="Q60" s="188"/>
      <x:c r="R60" s="184"/>
    </x:row>
    <x:row r="61" ht="17" customHeight="1">
      <x:c r="A61" s="176"/>
      <x:c r="B61" s="283"/>
      <x:c r="C61" s="283" t="str">
        <x:f>'2029 배당표'!C74</x:f>
        <x:v>실험</x:v>
      </x:c>
      <x:c r="D61" s="283" t="str">
        <x:f>'2029 배당표'!D74</x:f>
        <x:v>과학탐구실험2</x:v>
      </x:c>
      <x:c r="E61" s="190" t="n">
        <x:f>'2029 배당표'!H74</x:f>
        <x:v>1</x:v>
      </x:c>
      <x:c r="F61" s="187" t="n">
        <x:f>'2029 배당표'!I74</x:f>
        <x:v>1</x:v>
      </x:c>
      <x:c r="G61" s="284" t="n">
        <x:f>'2029 배당표'!J74</x:f>
        <x:v>1</x:v>
      </x:c>
      <x:c r="H61" s="190"/>
      <x:c r="I61" s="187"/>
      <x:c r="J61" s="284"/>
      <x:c r="K61" s="190"/>
      <x:c r="L61" s="187"/>
      <x:c r="M61" s="284"/>
      <x:c r="N61" s="191"/>
      <x:c r="O61" s="188"/>
      <x:c r="P61" s="188"/>
      <x:c r="Q61" s="188"/>
      <x:c r="R61" s="184"/>
    </x:row>
    <x:row r="62" ht="17" customHeight="1">
      <x:c r="A62" s="176"/>
      <x:c r="B62" s="283"/>
      <x:c r="C62" s="283" t="str">
        <x:f>'2029 배당표'!C75</x:f>
        <x:v>융합</x:v>
      </x:c>
      <x:c r="D62" s="283" t="str">
        <x:f>'2029 배당표'!D75</x:f>
        <x:v>과학의 역사와 문화</x:v>
      </x:c>
      <x:c r="E62" s="190"/>
      <x:c r="F62" s="187"/>
      <x:c r="G62" s="284"/>
      <x:c r="H62" s="190"/>
      <x:c r="I62" s="187"/>
      <x:c r="J62" s="284"/>
      <x:c r="K62" s="190" t="n">
        <x:f>'2029 배당표'!T75</x:f>
        <x:v>3</x:v>
      </x:c>
      <x:c r="L62" s="187" t="n">
        <x:f>'2029 배당표'!U75</x:f>
        <x:v>3</x:v>
      </x:c>
      <x:c r="M62" s="284" t="n">
        <x:f>'2029 배당표'!V75</x:f>
        <x:v>9</x:v>
      </x:c>
      <x:c r="N62" s="191"/>
      <x:c r="O62" s="188"/>
      <x:c r="P62" s="188"/>
      <x:c r="Q62" s="188"/>
      <x:c r="R62" s="184"/>
    </x:row>
    <x:row r="63" ht="17" customHeight="1">
      <x:c r="A63" s="176"/>
      <x:c r="B63" s="283"/>
      <x:c r="C63" s="283" t="str">
        <x:f>'2029 배당표'!C77</x:f>
        <x:v>융합</x:v>
      </x:c>
      <x:c r="D63" s="283" t="str">
        <x:f>'2029 배당표'!D77</x:f>
        <x:v>융합과학 탐구</x:v>
      </x:c>
      <x:c r="E63" s="190"/>
      <x:c r="F63" s="187"/>
      <x:c r="G63" s="284"/>
      <x:c r="H63" s="190"/>
      <x:c r="I63" s="187"/>
      <x:c r="J63" s="284"/>
      <x:c r="K63" s="190" t="n">
        <x:f>'2029 배당표'!T77</x:f>
        <x:v>3</x:v>
      </x:c>
      <x:c r="L63" s="187" t="n">
        <x:f>'2029 배당표'!U77</x:f>
        <x:v>3</x:v>
      </x:c>
      <x:c r="M63" s="284" t="n">
        <x:f>'2029 배당표'!V77</x:f>
        <x:v>9</x:v>
      </x:c>
      <x:c r="N63" s="191"/>
      <x:c r="O63" s="188"/>
      <x:c r="P63" s="188"/>
      <x:c r="Q63" s="188"/>
      <x:c r="R63" s="184"/>
    </x:row>
    <x:row r="64" ht="17" customHeight="1">
      <x:c r="A64" s="176"/>
      <x:c r="B64" s="300" t="str">
        <x:v>생물</x:v>
      </x:c>
      <x:c r="C64" s="295" t="str">
        <x:f>'2029 배당표'!C81</x:f>
        <x:v>자체</x:v>
      </x:c>
      <x:c r="D64" s="295" t="str">
        <x:f>'2029 배당표'!D81</x:f>
        <x:v>생물의 유전</x:v>
      </x:c>
      <x:c r="E64" s="203"/>
      <x:c r="F64" s="204"/>
      <x:c r="G64" s="296"/>
      <x:c r="H64" s="203" t="n">
        <x:f>'2029 배당표'!N81</x:f>
        <x:v>3</x:v>
      </x:c>
      <x:c r="I64" s="204" t="n">
        <x:f>'2029 배당표'!O81</x:f>
        <x:v>4</x:v>
      </x:c>
      <x:c r="J64" s="296" t="n">
        <x:f>'2029 배당표'!P81</x:f>
        <x:v>12</x:v>
      </x:c>
      <x:c r="K64" s="203"/>
      <x:c r="L64" s="204"/>
      <x:c r="M64" s="296"/>
      <x:c r="N64" s="297" t="n">
        <x:f>'2029 배당표'!W78</x:f>
        <x:v>3</x:v>
      </x:c>
      <x:c r="O64" s="298" t="n">
        <x:f>'2029 배당표'!AB78</x:f>
        <x:v>12</x:v>
      </x:c>
      <x:c r="P64" s="298" t="n">
        <x:f>'2029 배당표'!AC78</x:f>
        <x:v>42</x:v>
      </x:c>
      <x:c r="Q64" s="298" t="n">
        <x:f>'2029 배당표'!AD78</x:f>
        <x:v>54</x:v>
      </x:c>
      <x:c r="R64" s="299" t="n">
        <x:f>'2029 배당표'!AE78</x:f>
        <x:v>18</x:v>
      </x:c>
    </x:row>
    <x:row r="65" ht="17" customHeight="1">
      <x:c r="A65" s="176"/>
      <x:c r="B65" s="283"/>
      <x:c r="C65" s="283" t="str">
        <x:f>'2029 배당표'!C84</x:f>
        <x:v>통합</x:v>
      </x:c>
      <x:c r="D65" s="283" t="str">
        <x:f>'2029 배당표'!D84</x:f>
        <x:v>통합과학2</x:v>
      </x:c>
      <x:c r="E65" s="190" t="n">
        <x:f>'2029 배당표'!H84</x:f>
        <x:v>4</x:v>
      </x:c>
      <x:c r="F65" s="187" t="n">
        <x:f>'2029 배당표'!I84</x:f>
        <x:v>2</x:v>
      </x:c>
      <x:c r="G65" s="284" t="n">
        <x:f>'2029 배당표'!J84</x:f>
        <x:v>8</x:v>
      </x:c>
      <x:c r="H65" s="190"/>
      <x:c r="I65" s="187"/>
      <x:c r="J65" s="284"/>
      <x:c r="K65" s="190"/>
      <x:c r="L65" s="187"/>
      <x:c r="M65" s="284"/>
      <x:c r="N65" s="191"/>
      <x:c r="O65" s="188"/>
      <x:c r="P65" s="188"/>
      <x:c r="Q65" s="188"/>
      <x:c r="R65" s="184"/>
    </x:row>
    <x:row r="66" ht="17" customHeight="1">
      <x:c r="A66" s="176"/>
      <x:c r="B66" s="283"/>
      <x:c r="C66" s="283" t="str">
        <x:f>'2029 배당표'!C85</x:f>
        <x:v>실험</x:v>
      </x:c>
      <x:c r="D66" s="283" t="str">
        <x:f>'2029 배당표'!D85</x:f>
        <x:v>과학탐구실험2</x:v>
      </x:c>
      <x:c r="E66" s="190" t="n">
        <x:f>'2029 배당표'!H85</x:f>
        <x:v>1</x:v>
      </x:c>
      <x:c r="F66" s="187" t="n">
        <x:f>'2029 배당표'!I85</x:f>
        <x:v>4</x:v>
      </x:c>
      <x:c r="G66" s="284" t="n">
        <x:f>'2029 배당표'!J85</x:f>
        <x:v>4</x:v>
      </x:c>
      <x:c r="H66" s="190"/>
      <x:c r="I66" s="187"/>
      <x:c r="J66" s="284"/>
      <x:c r="K66" s="190"/>
      <x:c r="L66" s="187"/>
      <x:c r="M66" s="284"/>
      <x:c r="N66" s="191"/>
      <x:c r="O66" s="188"/>
      <x:c r="P66" s="188"/>
      <x:c r="Q66" s="188"/>
      <x:c r="R66" s="184"/>
    </x:row>
    <x:row r="67" ht="17" customHeight="1">
      <x:c r="A67" s="176"/>
      <x:c r="B67" s="283"/>
      <x:c r="C67" s="283" t="str">
        <x:f>'2029 배당표'!C86</x:f>
        <x:v>융합</x:v>
      </x:c>
      <x:c r="D67" s="283" t="str">
        <x:f>'2029 배당표'!D86</x:f>
        <x:v>과학의 역사와 문화</x:v>
      </x:c>
      <x:c r="E67" s="190"/>
      <x:c r="F67" s="187"/>
      <x:c r="G67" s="284"/>
      <x:c r="H67" s="190"/>
      <x:c r="I67" s="187"/>
      <x:c r="J67" s="284"/>
      <x:c r="K67" s="190" t="n">
        <x:f>'2029 배당표'!T86</x:f>
        <x:v>3</x:v>
      </x:c>
      <x:c r="L67" s="187" t="n">
        <x:f>'2029 배당표'!U86</x:f>
        <x:v>2</x:v>
      </x:c>
      <x:c r="M67" s="284" t="n">
        <x:f>'2029 배당표'!V86</x:f>
        <x:v>6</x:v>
      </x:c>
      <x:c r="N67" s="191"/>
      <x:c r="O67" s="188"/>
      <x:c r="P67" s="188"/>
      <x:c r="Q67" s="188"/>
      <x:c r="R67" s="184"/>
    </x:row>
    <x:row r="68" ht="17" customHeight="1">
      <x:c r="A68" s="176"/>
      <x:c r="B68" s="283"/>
      <x:c r="C68" s="283" t="str">
        <x:f>'2029 배당표'!C87</x:f>
        <x:v>융합</x:v>
      </x:c>
      <x:c r="D68" s="283" t="str">
        <x:f>'2029 배당표'!D87</x:f>
        <x:v>기후변화와 환경생태</x:v>
      </x:c>
      <x:c r="E68" s="190"/>
      <x:c r="F68" s="187"/>
      <x:c r="G68" s="284"/>
      <x:c r="H68" s="190"/>
      <x:c r="I68" s="187"/>
      <x:c r="J68" s="284"/>
      <x:c r="K68" s="190" t="n">
        <x:f>'2029 배당표'!T87</x:f>
        <x:v>3</x:v>
      </x:c>
      <x:c r="L68" s="187" t="n">
        <x:f>'2029 배당표'!U87</x:f>
        <x:v>6</x:v>
      </x:c>
      <x:c r="M68" s="284" t="n">
        <x:f>'2029 배당표'!V87</x:f>
        <x:v>18</x:v>
      </x:c>
      <x:c r="N68" s="191"/>
      <x:c r="O68" s="188"/>
      <x:c r="P68" s="188"/>
      <x:c r="Q68" s="188"/>
      <x:c r="R68" s="184"/>
    </x:row>
    <x:row r="69" ht="17" customHeight="1">
      <x:c r="A69" s="176"/>
      <x:c r="B69" s="283"/>
      <x:c r="C69" s="283" t="str">
        <x:f>'2029 배당표'!C88</x:f>
        <x:v>융합</x:v>
      </x:c>
      <x:c r="D69" s="283" t="str">
        <x:f>'2029 배당표'!D88</x:f>
        <x:v>융합과학 탐구</x:v>
      </x:c>
      <x:c r="E69" s="190"/>
      <x:c r="F69" s="187"/>
      <x:c r="G69" s="284"/>
      <x:c r="H69" s="190"/>
      <x:c r="I69" s="187"/>
      <x:c r="J69" s="284"/>
      <x:c r="K69" s="190" t="n">
        <x:f>'2029 배당표'!T88</x:f>
        <x:v>3</x:v>
      </x:c>
      <x:c r="L69" s="187" t="n">
        <x:f>'2029 배당표'!U88</x:f>
        <x:v>2</x:v>
      </x:c>
      <x:c r="M69" s="284" t="n">
        <x:f>'2029 배당표'!V88</x:f>
        <x:v>6</x:v>
      </x:c>
      <x:c r="N69" s="191"/>
      <x:c r="O69" s="188"/>
      <x:c r="P69" s="188"/>
      <x:c r="Q69" s="188"/>
      <x:c r="R69" s="184"/>
    </x:row>
    <x:row r="70" ht="17" customHeight="1">
      <x:c r="A70" s="176"/>
      <x:c r="B70" s="300" t="str">
        <x:v>지구과학</x:v>
      </x:c>
      <x:c r="C70" s="295" t="str">
        <x:f>'2029 배당표'!C90</x:f>
        <x:v>자체</x:v>
      </x:c>
      <x:c r="D70" s="295" t="str">
        <x:f>'2029 배당표'!D90</x:f>
        <x:v>지구과학</x:v>
      </x:c>
      <x:c r="E70" s="203"/>
      <x:c r="F70" s="204"/>
      <x:c r="G70" s="296"/>
      <x:c r="H70" s="203" t="n">
        <x:f>'2029 배당표'!N90</x:f>
        <x:v>3</x:v>
      </x:c>
      <x:c r="I70" s="204" t="n">
        <x:f>'2029 배당표'!O90</x:f>
        <x:v>4</x:v>
      </x:c>
      <x:c r="J70" s="296" t="n">
        <x:f>'2029 배당표'!P90</x:f>
        <x:v>12</x:v>
      </x:c>
      <x:c r="K70" s="203"/>
      <x:c r="L70" s="204"/>
      <x:c r="M70" s="296"/>
      <x:c r="N70" s="297" t="n">
        <x:f>'2029 배당표'!W89</x:f>
        <x:v>3</x:v>
      </x:c>
      <x:c r="O70" s="298" t="n">
        <x:f>'2029 배당표'!AB89</x:f>
        <x:v>15</x:v>
      </x:c>
      <x:c r="P70" s="298" t="n">
        <x:f>'2029 배당표'!AC89</x:f>
        <x:v>39</x:v>
      </x:c>
      <x:c r="Q70" s="298" t="n">
        <x:f>'2029 배당표'!AD89</x:f>
        <x:v>54</x:v>
      </x:c>
      <x:c r="R70" s="299" t="n">
        <x:f>'2029 배당표'!AE89</x:f>
        <x:v>18</x:v>
      </x:c>
    </x:row>
    <x:row r="71" ht="17" customHeight="1">
      <x:c r="A71" s="176"/>
      <x:c r="B71" s="283"/>
      <x:c r="C71" s="283" t="str">
        <x:f>'2029 배당표'!C92</x:f>
        <x:v>자체</x:v>
      </x:c>
      <x:c r="D71" s="283" t="str">
        <x:f>'2029 배당표'!D92</x:f>
        <x:v>행성우주과학</x:v>
      </x:c>
      <x:c r="E71" s="190"/>
      <x:c r="F71" s="187"/>
      <x:c r="G71" s="284"/>
      <x:c r="H71" s="190" t="n">
        <x:f>'2029 배당표'!N92</x:f>
        <x:v>3</x:v>
      </x:c>
      <x:c r="I71" s="187" t="n">
        <x:f>'2029 배당표'!O92</x:f>
        <x:v>1</x:v>
      </x:c>
      <x:c r="J71" s="284" t="n">
        <x:f>'2029 배당표'!P92</x:f>
        <x:v>3</x:v>
      </x:c>
      <x:c r="K71" s="190"/>
      <x:c r="L71" s="187"/>
      <x:c r="M71" s="284"/>
      <x:c r="N71" s="191"/>
      <x:c r="O71" s="188"/>
      <x:c r="P71" s="188"/>
      <x:c r="Q71" s="188"/>
      <x:c r="R71" s="184"/>
    </x:row>
    <x:row r="72" ht="17" customHeight="1">
      <x:c r="A72" s="176"/>
      <x:c r="B72" s="283"/>
      <x:c r="C72" s="283" t="str">
        <x:f>'2029 배당표'!C95</x:f>
        <x:v>통합</x:v>
      </x:c>
      <x:c r="D72" s="283" t="str">
        <x:f>'2029 배당표'!D95</x:f>
        <x:v>통합과학2</x:v>
      </x:c>
      <x:c r="E72" s="190" t="n">
        <x:f>'2029 배당표'!H95</x:f>
        <x:v>4</x:v>
      </x:c>
      <x:c r="F72" s="187" t="n">
        <x:f>'2029 배당표'!I95</x:f>
        <x:v>2</x:v>
      </x:c>
      <x:c r="G72" s="284" t="n">
        <x:f>'2029 배당표'!J95</x:f>
        <x:v>8</x:v>
      </x:c>
      <x:c r="H72" s="190"/>
      <x:c r="I72" s="187"/>
      <x:c r="J72" s="284"/>
      <x:c r="K72" s="190"/>
      <x:c r="L72" s="187"/>
      <x:c r="M72" s="284"/>
      <x:c r="N72" s="191"/>
      <x:c r="O72" s="188"/>
      <x:c r="P72" s="188"/>
      <x:c r="Q72" s="188"/>
      <x:c r="R72" s="184"/>
    </x:row>
    <x:row r="73" ht="17" customHeight="1">
      <x:c r="A73" s="176"/>
      <x:c r="B73" s="283"/>
      <x:c r="C73" s="283" t="str">
        <x:f>'2029 배당표'!C96</x:f>
        <x:v>실험</x:v>
      </x:c>
      <x:c r="D73" s="283" t="str">
        <x:f>'2029 배당표'!D96</x:f>
        <x:v>과학탐구실험2</x:v>
      </x:c>
      <x:c r="E73" s="190" t="n">
        <x:f>'2029 배당표'!H96</x:f>
        <x:v>1</x:v>
      </x:c>
      <x:c r="F73" s="187" t="n">
        <x:f>'2029 배당표'!I96</x:f>
        <x:v>4</x:v>
      </x:c>
      <x:c r="G73" s="284" t="n">
        <x:f>'2029 배당표'!J96</x:f>
        <x:v>4</x:v>
      </x:c>
      <x:c r="H73" s="190"/>
      <x:c r="I73" s="187"/>
      <x:c r="J73" s="284"/>
      <x:c r="K73" s="190"/>
      <x:c r="L73" s="187"/>
      <x:c r="M73" s="284"/>
      <x:c r="N73" s="191"/>
      <x:c r="O73" s="188"/>
      <x:c r="P73" s="188"/>
      <x:c r="Q73" s="188"/>
      <x:c r="R73" s="184"/>
    </x:row>
    <x:row r="74" ht="17" customHeight="1">
      <x:c r="A74" s="176"/>
      <x:c r="B74" s="283"/>
      <x:c r="C74" s="283" t="str">
        <x:f>'2029 배당표'!C97</x:f>
        <x:v>융합</x:v>
      </x:c>
      <x:c r="D74" s="283" t="str">
        <x:f>'2029 배당표'!D97</x:f>
        <x:v>과학의 역사와 문화</x:v>
      </x:c>
      <x:c r="E74" s="190"/>
      <x:c r="F74" s="187"/>
      <x:c r="G74" s="284"/>
      <x:c r="H74" s="190"/>
      <x:c r="I74" s="187"/>
      <x:c r="J74" s="284"/>
      <x:c r="K74" s="190" t="n">
        <x:f>'2029 배당표'!T97</x:f>
        <x:v>3</x:v>
      </x:c>
      <x:c r="L74" s="187" t="n">
        <x:f>'2029 배당표'!U97</x:f>
        <x:v>2</x:v>
      </x:c>
      <x:c r="M74" s="284" t="n">
        <x:f>'2029 배당표'!V97</x:f>
        <x:v>6</x:v>
      </x:c>
      <x:c r="N74" s="191"/>
      <x:c r="O74" s="188"/>
      <x:c r="P74" s="188"/>
      <x:c r="Q74" s="188"/>
      <x:c r="R74" s="184"/>
    </x:row>
    <x:row r="75" ht="17" customHeight="1">
      <x:c r="A75" s="176"/>
      <x:c r="B75" s="283"/>
      <x:c r="C75" s="283" t="str">
        <x:f>'2029 배당표'!C98</x:f>
        <x:v>융합</x:v>
      </x:c>
      <x:c r="D75" s="283" t="str">
        <x:f>'2029 배당표'!D98</x:f>
        <x:v>기후변화와 환경생태</x:v>
      </x:c>
      <x:c r="E75" s="190"/>
      <x:c r="F75" s="187"/>
      <x:c r="G75" s="284"/>
      <x:c r="H75" s="190"/>
      <x:c r="I75" s="187"/>
      <x:c r="J75" s="284"/>
      <x:c r="K75" s="190" t="n">
        <x:f>'2029 배당표'!T98</x:f>
        <x:v>3</x:v>
      </x:c>
      <x:c r="L75" s="187" t="n">
        <x:f>'2029 배당표'!U98</x:f>
        <x:v>5</x:v>
      </x:c>
      <x:c r="M75" s="284" t="n">
        <x:f>'2029 배당표'!V98</x:f>
        <x:v>15</x:v>
      </x:c>
      <x:c r="N75" s="191"/>
      <x:c r="O75" s="188"/>
      <x:c r="P75" s="188"/>
      <x:c r="Q75" s="188"/>
      <x:c r="R75" s="184"/>
    </x:row>
    <x:row r="76" ht="17" customHeight="1">
      <x:c r="A76" s="176"/>
      <x:c r="B76" s="283"/>
      <x:c r="C76" s="283" t="str">
        <x:f>'2029 배당표'!C99</x:f>
        <x:v>융합</x:v>
      </x:c>
      <x:c r="D76" s="283" t="str">
        <x:f>'2029 배당표'!D99</x:f>
        <x:v>융합과학 탐구</x:v>
      </x:c>
      <x:c r="E76" s="190"/>
      <x:c r="F76" s="187"/>
      <x:c r="G76" s="284"/>
      <x:c r="H76" s="190"/>
      <x:c r="I76" s="187"/>
      <x:c r="J76" s="284"/>
      <x:c r="K76" s="190" t="n">
        <x:f>'2029 배당표'!T99</x:f>
        <x:v>3</x:v>
      </x:c>
      <x:c r="L76" s="187" t="n">
        <x:f>'2029 배당표'!U99</x:f>
        <x:v>2</x:v>
      </x:c>
      <x:c r="M76" s="284" t="n">
        <x:f>'2029 배당표'!V99</x:f>
        <x:v>6</x:v>
      </x:c>
      <x:c r="N76" s="191"/>
      <x:c r="O76" s="188"/>
      <x:c r="P76" s="188"/>
      <x:c r="Q76" s="188"/>
      <x:c r="R76" s="184"/>
    </x:row>
    <x:row r="77" ht="18" customHeight="1">
      <x:c r="A77" s="176"/>
      <x:c r="B77" s="305" t="str">
        <x:v>과학 전체</x:v>
      </x:c>
      <x:c r="C77" s="304"/>
      <x:c r="D77" s="304"/>
      <x:c r="E77" s="304"/>
      <x:c r="F77" s="304"/>
      <x:c r="G77" s="304" t="n">
        <x:f>SUM(G54:G76)</x:f>
        <x:v>60</x:v>
      </x:c>
      <x:c r="H77" s="304"/>
      <x:c r="I77" s="304"/>
      <x:c r="J77" s="304" t="n">
        <x:f>SUM(J54:J76)</x:f>
        <x:v>54</x:v>
      </x:c>
      <x:c r="K77" s="304"/>
      <x:c r="L77" s="304"/>
      <x:c r="M77" s="304" t="n">
        <x:f>SUM(M54:M76)</x:f>
        <x:v>84</x:v>
      </x:c>
      <x:c r="N77" s="304" t="n">
        <x:f>'2029 배당표'!W101</x:f>
        <x:v>11</x:v>
      </x:c>
      <x:c r="O77" s="304" t="n">
        <x:f>'2029 배당표'!AB101</x:f>
        <x:v>54</x:v>
      </x:c>
      <x:c r="P77" s="304" t="n">
        <x:f>'2029 배당표'!AC101</x:f>
        <x:v>144</x:v>
      </x:c>
      <x:c r="Q77" s="304" t="n">
        <x:f>'2029 배당표'!AD101</x:f>
        <x:v>198</x:v>
      </x:c>
      <x:c r="R77" s="306" t="n">
        <x:f>'2029 배당표'!AE101</x:f>
        <x:v>18</x:v>
      </x:c>
    </x:row>
    <x:row r="78" ht="12" customHeight="1">
      <x:c r="A78" s="176"/>
      <x:c r="B78" s="216" t="str">
        <x:v>윤리와 사상 99명·택3 선택비율로 보정한 가정안. 2027 입학생부터 12학급, 교사 수는 2026학년도 정원 참고값입니다.</x:v>
      </x:c>
      <x:c r="C78" s="216"/>
      <x:c r="D78" s="216"/>
      <x:c r="E78" s="216"/>
      <x:c r="F78" s="216"/>
      <x:c r="G78" s="216"/>
      <x:c r="H78" s="216"/>
      <x:c r="I78" s="216"/>
      <x:c r="J78" s="216"/>
      <x:c r="K78" s="216"/>
      <x:c r="L78" s="216"/>
      <x:c r="M78" s="216"/>
      <x:c r="N78" s="216"/>
      <x:c r="O78" s="216"/>
      <x:c r="P78" s="216"/>
      <x:c r="Q78" s="216"/>
      <x:c r="R78" s="216"/>
    </x:row>
    <x:row r="79" ht="12" customHeight="1">
      <x:c r="A79" s="176"/>
      <x:c r="B79" s="216" t="str">
        <x:f>IF(SUM(G77,J77,M77)=Q77,"교육과정상 관련 교과 안에서 배정했습니다. 현재 개설·배정된 과목만 표시합니다.","배정 변경으로 목록과 총시수가 다릅니다. 인쇄 전 과목 목록을 다시 확인하세요.")</x:f>
        <x:v>교육과정상 관련 교과 안에서 배정했습니다. 현재 개설·배정된 과목만 표시합니다.</x:v>
      </x:c>
      <x:c r="C79" s="216"/>
      <x:c r="D79" s="216"/>
      <x:c r="E79" s="216"/>
      <x:c r="F79" s="216"/>
      <x:c r="G79" s="216"/>
      <x:c r="H79" s="216"/>
      <x:c r="I79" s="216"/>
      <x:c r="J79" s="216"/>
      <x:c r="K79" s="216"/>
      <x:c r="L79" s="216"/>
      <x:c r="M79" s="216"/>
      <x:c r="N79" s="216"/>
      <x:c r="O79" s="216"/>
      <x:c r="P79" s="216"/>
      <x:c r="Q79" s="216"/>
      <x:c r="R79" s="216"/>
    </x:row>
    <x:row r="80" ht="17" customHeight="1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</x:row>
    <x:row r="81" ht="17" customHeight="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</x:row>
    <x:row r="82" ht="17" customHeight="1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</x:row>
    <x:row r="83" ht="17" customHeight="1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</x:row>
    <x:row r="84" ht="17" customHeight="1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</x:row>
    <x:row r="85" ht="17" customHeight="1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</x:row>
    <x:row r="86" ht="17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</x:row>
    <x:row r="87" ht="17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</x:row>
    <x:row r="88" ht="17" customHeight="1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</x:row>
    <x:row r="89" ht="17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</x:row>
    <x:row r="90" ht="17" customHeight="1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</x:row>
    <x:row r="91" ht="17" customHeight="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</x:row>
    <x:row r="92" ht="17" customHeight="1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</x:row>
    <x:row r="93" ht="17" customHeight="1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</x:row>
    <x:row r="94" ht="17" customHeight="1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</x:row>
    <x:row r="95" ht="17" customHeight="1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</x:row>
    <x:row r="96" ht="17" customHeight="1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</x:row>
    <x:row r="97" ht="17" customHeight="1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</x:row>
    <x:row r="98" ht="17" customHeight="1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</x:row>
    <x:row r="99" ht="17" customHeight="1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</x:row>
    <x:row r="100" ht="17" customHeight="1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</x:row>
    <x:row r="101" ht="17" customHeight="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</x:row>
    <x:row r="102" ht="17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</x:row>
    <x:row r="103" ht="17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</x:row>
    <x:row r="104" ht="17" customHeight="1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</x:row>
    <x:row r="105" ht="17" customHeight="1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</x:row>
    <x:row r="106" ht="17" customHeight="1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</x:row>
    <x:row r="107" ht="17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</x:row>
    <x:row r="108" ht="17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</x:row>
    <x:row r="109" ht="17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</x:row>
    <x:row r="110" ht="17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</x:row>
    <x:row r="111" ht="17" customHeight="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</x:row>
    <x:row r="112" ht="17" customHeight="1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</x:row>
    <x:row r="113" ht="17" customHeight="1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</x:row>
    <x:row r="114" ht="17" customHeight="1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</x:row>
    <x:row r="115" ht="17" customHeight="1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</x:row>
    <x:row r="116" ht="17" customHeight="1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</x:row>
    <x:row r="117" ht="17" customHeight="1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</x:row>
    <x:row r="118" ht="17" customHeight="1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</x:row>
    <x:row r="119" ht="17" customHeight="1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</x:row>
    <x:row r="120" ht="17" customHeight="1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</x:row>
    <x:row r="121" ht="17" customHeight="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</x:row>
    <x:row r="122" ht="17" customHeight="1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</x:row>
    <x:row r="123" ht="17" customHeight="1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</x:row>
    <x:row r="124" ht="17" customHeight="1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</x:row>
    <x:row r="125" ht="17" customHeight="1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</x:row>
    <x:row r="126" ht="17" customHeight="1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</x:row>
    <x:row r="127" ht="17" customHeight="1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</x:row>
    <x:row r="128" ht="17" customHeight="1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</x:row>
    <x:row r="129" ht="17" customHeight="1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</x:row>
    <x:row r="130" ht="17" customHeight="1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</x:row>
    <x:row r="131" ht="17" customHeight="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</x:row>
    <x:row r="132" ht="17" customHeight="1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</x:row>
    <x:row r="133" ht="17" customHeight="1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</x:row>
    <x:row r="134" ht="17" customHeight="1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</x:row>
    <x:row r="135" ht="17" customHeight="1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</x:row>
    <x:row r="136" ht="17" customHeight="1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</x:row>
    <x:row r="137" ht="17" customHeight="1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</x:row>
    <x:row r="138" ht="17" customHeight="1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</x:row>
    <x:row r="139" ht="17" customHeight="1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</x:row>
    <x:row r="140" ht="17" customHeight="1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</x:row>
    <x:row r="141" ht="17" customHeight="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</x:row>
    <x:row r="142" ht="17" customHeight="1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</x:row>
    <x:row r="143" ht="17" customHeight="1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</x:row>
    <x:row r="144" ht="17" customHeight="1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</x:row>
    <x:row r="145" ht="17" customHeight="1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</x:row>
  </x:sheetData>
  <x:mergeCells>
    <x:mergeCell ref="B2:R2"/>
    <x:mergeCell ref="B3:R3"/>
    <x:mergeCell ref="B4:B5"/>
    <x:mergeCell ref="C4:C5"/>
    <x:mergeCell ref="D4:D5"/>
    <x:mergeCell ref="N4:N5"/>
    <x:mergeCell ref="O4:O5"/>
    <x:mergeCell ref="P4:P5"/>
    <x:mergeCell ref="Q4:Q5"/>
    <x:mergeCell ref="R4:R5"/>
    <x:mergeCell ref="E4:G4"/>
    <x:mergeCell ref="H4:J4"/>
    <x:mergeCell ref="K4:M4"/>
    <x:mergeCell ref="B21:D21"/>
    <x:mergeCell ref="B22:R22"/>
    <x:mergeCell ref="B23:R23"/>
    <x:mergeCell ref="B26:R26"/>
    <x:mergeCell ref="B27:R27"/>
    <x:mergeCell ref="B28:B29"/>
    <x:mergeCell ref="C28:C29"/>
    <x:mergeCell ref="D28:D29"/>
    <x:mergeCell ref="N28:N29"/>
    <x:mergeCell ref="O28:O29"/>
    <x:mergeCell ref="P28:P29"/>
    <x:mergeCell ref="Q28:Q29"/>
    <x:mergeCell ref="R28:R29"/>
    <x:mergeCell ref="E28:G28"/>
    <x:mergeCell ref="H28:J28"/>
    <x:mergeCell ref="K28:M28"/>
    <x:mergeCell ref="B45:D45"/>
    <x:mergeCell ref="B46:R46"/>
    <x:mergeCell ref="B47:R47"/>
    <x:mergeCell ref="B50:R50"/>
    <x:mergeCell ref="B51:R51"/>
    <x:mergeCell ref="B52:B53"/>
    <x:mergeCell ref="C52:C53"/>
    <x:mergeCell ref="D52:D53"/>
    <x:mergeCell ref="N52:N53"/>
    <x:mergeCell ref="O52:O53"/>
    <x:mergeCell ref="P52:P53"/>
    <x:mergeCell ref="Q52:Q53"/>
    <x:mergeCell ref="R52:R53"/>
    <x:mergeCell ref="E52:G52"/>
    <x:mergeCell ref="H52:J52"/>
    <x:mergeCell ref="K52:M52"/>
    <x:mergeCell ref="B77:D77"/>
    <x:mergeCell ref="B78:R78"/>
    <x:mergeCell ref="B79:R79"/>
  </x:mergeCells>
  <x:printOptions horizontalCentered="1" verticalCentered="0" headings="0" gridLines="0" gridLinesSet="1"/>
  <x:pageMargins left="0.25" right="0.25" top="0.25" bottom="0.25" header="0.1" footer="0.1"/>
  <x:pageSetup paperSize="9" orientation="landscape" scale="100" pageOrder="downThenOver" blackAndWhite="1" draft="0" horizontalDpi="600" verticalDpi="600"/>
  <x:headerFooter>
    <x:oddFooter>&amp;R&amp;8&amp;P / &amp;N</x:oddFooter>
  </x:headerFooter>
</x:worksheet>
</file>

<file path=xl/worksheets/sheet7.xml><?xml version="1.0" encoding="utf-8"?>
<x:worksheet xmlns:x="http://schemas.openxmlformats.org/spreadsheetml/2006/main">
  <x:sheetPr>
    <x:tabColor rgb="FF243B53"/>
  </x:sheetPr>
  <x:sheetViews>
    <x:sheetView showGridLines="0" workbookViewId="0" tabSelected="0"/>
  </x:sheetViews>
  <x:sheetFormatPr defaultRowHeight="15"/>
  <x:cols>
    <x:col min="1" max="1" width="2.5" hidden="0" customWidth="1"/>
    <x:col min="2" max="2" width="22.5" hidden="0" customWidth="1"/>
    <x:col min="3" max="3" width="10" hidden="0" customWidth="1"/>
    <x:col min="4" max="4" width="12.5" hidden="0" customWidth="1"/>
    <x:col min="5" max="5" width="12.5" hidden="0" customWidth="1"/>
    <x:col min="6" max="6" width="11.25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2.5" hidden="0" customWidth="1"/>
    <x:col min="11" max="11" width="2.5" hidden="0" customWidth="1"/>
    <x:col min="12" max="12" width="2.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3" customHeight="1">
      <x:c r="A2" s="3"/>
      <x:c r="B2" s="4" t="str">
        <x:v>2029학년도 1학기 선택군 변경 비교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3"/>
      <x:c r="B3" s="36"/>
      <x:c r="C3" s="36"/>
      <x:c r="D3" s="36"/>
      <x:c r="E3" s="36"/>
      <x:c r="F3" s="36"/>
      <x:c r="G3" s="36"/>
      <x:c r="H3" s="36"/>
      <x:c r="I3" s="36"/>
      <x:c r="J3" s="3"/>
      <x:c r="K3" s="3"/>
      <x:c r="L3" s="3"/>
    </x:row>
    <x:row r="4" ht="25" customHeight="1">
      <x:c r="A4" s="3"/>
      <x:c r="B4" s="5" t="str">
        <x:v>세계 문화와 영어를 택1에서 택4로 이동한 가정안. 모든 시수는 주당 수업시수입니다.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9" customHeight="1">
      <x:c r="A6" s="3"/>
      <x:c r="B6" s="11" t="str">
        <x:v>영역 / 교과</x:v>
      </x:c>
      <x:c r="C6" s="12" t="str">
        <x:v>교사 수</x:v>
      </x:c>
      <x:c r="D6" s="12" t="str">
        <x:v>기존 시수</x:v>
      </x:c>
      <x:c r="E6" s="12" t="str">
        <x:v>변경 시수</x:v>
      </x:c>
      <x:c r="F6" s="12" t="str">
        <x:v>시수 증감</x:v>
      </x:c>
      <x:c r="G6" s="12" t="str">
        <x:v>기존 평균</x:v>
      </x:c>
      <x:c r="H6" s="12" t="str">
        <x:v>변경 평균</x:v>
      </x:c>
      <x:c r="I6" s="13" t="str">
        <x:v>평균 증감</x:v>
      </x:c>
      <x:c r="J6" s="3"/>
      <x:c r="K6" s="3"/>
      <x:c r="L6" s="3"/>
    </x:row>
    <x:row r="7" ht="29" customHeight="1">
      <x:c r="A7" s="3"/>
      <x:c r="B7" s="24" t="str">
        <x:v>사회 전체</x:v>
      </x:c>
      <x:c r="C7" s="37" t="n">
        <x:f>IF(OR(COUNT(C16:C19)&lt;&gt;4,MIN(C16:C19)&lt;=0),"미정",SUM(C16:C19))</x:f>
        <x:v>12</x:v>
      </x:c>
      <x:c r="D7" s="37" t="n">
        <x:f>SUM(D16:D19)+SUMIFS('산정근거'!$I$25:$I$74,'산정근거'!$E$25:$E$74,"사회 공통")</x:f>
        <x:v>219</x:v>
      </x:c>
      <x:c r="E7" s="37" t="n">
        <x:f>SUM(E16:E19)+SUMIFS('산정근거'!$I$25:$I$74,'산정근거'!$E$25:$E$74,"사회 공통")</x:f>
        <x:v>213</x:v>
      </x:c>
      <x:c r="F7" s="38" t="n">
        <x:f>E7-D7</x:f>
        <x:v>-6</x:v>
      </x:c>
      <x:c r="G7" s="39" t="n">
        <x:f>IF(OR(NOT(ISNUMBER(C7)),C7&lt;=0),"미정",D7/C7)</x:f>
        <x:v>18.25</x:v>
      </x:c>
      <x:c r="H7" s="39" t="n">
        <x:f>IF(OR(NOT(ISNUMBER(C7)),C7&lt;=0),"미정",E7/C7)</x:f>
        <x:v>17.75</x:v>
      </x:c>
      <x:c r="I7" s="40" t="n">
        <x:f>IF(OR(NOT(ISNUMBER(G7)),NOT(ISNUMBER(H7))),"미정",H7-G7)</x:f>
        <x:v>-0.5</x:v>
      </x:c>
      <x:c r="J7" s="3"/>
      <x:c r="K7" s="3"/>
      <x:c r="L7" s="3"/>
    </x:row>
    <x:row r="8" ht="29" customHeight="1">
      <x:c r="A8" s="3"/>
      <x:c r="B8" s="22" t="str">
        <x:v>과학 전체</x:v>
      </x:c>
      <x:c r="C8" s="41" t="n">
        <x:f>IF(OR(COUNT(C20:C23)&lt;&gt;4,MIN(C20:C23)&lt;=0),"미정",SUM(C20:C23))</x:f>
        <x:v>11</x:v>
      </x:c>
      <x:c r="D8" s="41" t="n">
        <x:f>SUM(D20:D23)+SUMIFS('산정근거'!$I$25:$I$74,'산정근거'!$E$25:$E$74,"과학 공통·융합")</x:f>
        <x:v>165</x:v>
      </x:c>
      <x:c r="E8" s="41" t="n">
        <x:f>SUM(E20:E23)+SUMIFS('산정근거'!$I$25:$I$74,'산정근거'!$E$25:$E$74,"과학 공통·융합")</x:f>
        <x:v>159</x:v>
      </x:c>
      <x:c r="F8" s="42" t="n">
        <x:f>E8-D8</x:f>
        <x:v>-6</x:v>
      </x:c>
      <x:c r="G8" s="43" t="n">
        <x:f>IF(OR(NOT(ISNUMBER(C8)),C8&lt;=0),"미정",D8/C8)</x:f>
        <x:v>15</x:v>
      </x:c>
      <x:c r="H8" s="43" t="n">
        <x:f>IF(OR(NOT(ISNUMBER(C8)),C8&lt;=0),"미정",E8/C8)</x:f>
        <x:v>14.454545454545455</x:v>
      </x:c>
      <x:c r="I8" s="44" t="n">
        <x:f>IF(OR(NOT(ISNUMBER(G8)),NOT(ISNUMBER(H8))),"미정",H8-G8)</x:f>
        <x:v>-0.545454545454545</x:v>
      </x:c>
      <x:c r="J8" s="3"/>
      <x:c r="K8" s="3"/>
      <x:c r="L8" s="3"/>
    </x:row>
    <x:row r="9" ht="25" customHeight="1">
      <x:c r="A9" s="3"/>
      <x:c r="B9" s="3"/>
      <x:c r="C9" s="45"/>
      <x:c r="D9" s="45"/>
      <x:c r="E9" s="45"/>
      <x:c r="F9" s="45"/>
      <x:c r="G9" s="45"/>
      <x:c r="H9" s="45"/>
      <x:c r="I9" s="45"/>
      <x:c r="J9" s="3"/>
      <x:c r="K9" s="3"/>
      <x:c r="L9" s="3"/>
    </x:row>
    <x:row r="10" ht="25" customHeight="1">
      <x:c r="A10" s="3"/>
      <x:c r="B10" s="5" t="str">
        <x:v>위 평균은 공통·융합과목을 포함한 영역 전체 평균입니다. 창체·교양은 제외했습니다.</x:v>
      </x:c>
      <x:c r="C10" s="45"/>
      <x:c r="D10" s="45"/>
      <x:c r="E10" s="45"/>
      <x:c r="F10" s="45"/>
      <x:c r="G10" s="45"/>
      <x:c r="H10" s="45"/>
      <x:c r="I10" s="45"/>
      <x:c r="J10" s="3"/>
      <x:c r="K10" s="3"/>
      <x:c r="L10" s="3"/>
    </x:row>
    <x:row r="11" ht="25" customHeight="1">
      <x:c r="A11" s="3"/>
      <x:c r="B11" s="3"/>
      <x:c r="C11" s="45"/>
      <x:c r="D11" s="45"/>
      <x:c r="E11" s="45"/>
      <x:c r="F11" s="45"/>
      <x:c r="G11" s="45"/>
      <x:c r="H11" s="45"/>
      <x:c r="I11" s="45"/>
      <x:c r="J11" s="3"/>
      <x:c r="K11" s="3"/>
      <x:c r="L11" s="3"/>
    </x:row>
    <x:row r="12" ht="29" customHeight="1">
      <x:c r="A12" s="3"/>
      <x:c r="B12" s="11" t="str">
        <x:v>영역 / 교과</x:v>
      </x:c>
      <x:c r="C12" s="12" t="str">
        <x:v>교사 수</x:v>
      </x:c>
      <x:c r="D12" s="12" t="str">
        <x:v>기존 시수</x:v>
      </x:c>
      <x:c r="E12" s="12" t="str">
        <x:v>변경 시수</x:v>
      </x:c>
      <x:c r="F12" s="12" t="str">
        <x:v>시수 증감</x:v>
      </x:c>
      <x:c r="G12" s="12" t="str">
        <x:v>기존 평균</x:v>
      </x:c>
      <x:c r="H12" s="12" t="str">
        <x:v>변경 평균</x:v>
      </x:c>
      <x:c r="I12" s="13" t="str">
        <x:v>평균 증감</x:v>
      </x:c>
      <x:c r="J12" s="3"/>
      <x:c r="K12" s="3"/>
      <x:c r="L12" s="3"/>
    </x:row>
    <x:row r="13" ht="25" customHeight="1">
      <x:c r="A13" s="3"/>
      <x:c r="B13" s="3" t="str">
        <x:v>국어</x:v>
      </x:c>
      <x:c r="C13" s="48" t="n">
        <x:f>'산정근거'!C7</x:f>
        <x:v>10</x:v>
      </x:c>
      <x:c r="D13" s="48" t="n">
        <x:f>SUMIFS('산정근거'!$I$25:$I$74,'산정근거'!$E$25:$E$74,'산정근거'!B7)</x:f>
        <x:v>141</x:v>
      </x:c>
      <x:c r="E13" s="48" t="n">
        <x:f>D13+SUMIFS('선택군비교'!$K$13:$K$26,'선택군비교'!$C$13:$C$26,'산정근거'!B7)</x:f>
        <x:v>144</x:v>
      </x:c>
      <x:c r="F13" s="49" t="n">
        <x:f>E13-D13</x:f>
        <x:v>3</x:v>
      </x:c>
      <x:c r="G13" s="50" t="n">
        <x:f>IF(OR(NOT(ISNUMBER(C13)),C13&lt;=0),"미정",D13/C13)</x:f>
        <x:v>14.1</x:v>
      </x:c>
      <x:c r="H13" s="50" t="n">
        <x:f>IF(OR(NOT(ISNUMBER(C13)),C13&lt;=0),"미정",E13/C13)</x:f>
        <x:v>14.4</x:v>
      </x:c>
      <x:c r="I13" s="51" t="n">
        <x:f>IF(OR(NOT(ISNUMBER(G13)),NOT(ISNUMBER(H13))),"미정",H13-G13)</x:f>
        <x:v>0.3000000000000007</x:v>
      </x:c>
      <x:c r="J13" s="3"/>
      <x:c r="K13" s="3"/>
      <x:c r="L13" s="3"/>
    </x:row>
    <x:row r="14" ht="25" customHeight="1">
      <x:c r="A14" s="3"/>
      <x:c r="B14" s="3" t="str">
        <x:v>수학</x:v>
      </x:c>
      <x:c r="C14" s="48" t="n">
        <x:f>'산정근거'!C8</x:f>
        <x:v>10</x:v>
      </x:c>
      <x:c r="D14" s="48" t="n">
        <x:f>SUMIFS('산정근거'!$I$25:$I$74,'산정근거'!$E$25:$E$74,'산정근거'!B8)</x:f>
        <x:v>150</x:v>
      </x:c>
      <x:c r="E14" s="48" t="n">
        <x:f>D14+SUMIFS('선택군비교'!$K$13:$K$26,'선택군비교'!$C$13:$C$26,'산정근거'!B8)</x:f>
        <x:v>156</x:v>
      </x:c>
      <x:c r="F14" s="49" t="n">
        <x:f>E14-D14</x:f>
        <x:v>6</x:v>
      </x:c>
      <x:c r="G14" s="50" t="n">
        <x:f>IF(OR(NOT(ISNUMBER(C14)),C14&lt;=0),"미정",D14/C14)</x:f>
        <x:v>15</x:v>
      </x:c>
      <x:c r="H14" s="50" t="n">
        <x:f>IF(OR(NOT(ISNUMBER(C14)),C14&lt;=0),"미정",E14/C14)</x:f>
        <x:v>15.6</x:v>
      </x:c>
      <x:c r="I14" s="51" t="n">
        <x:f>IF(OR(NOT(ISNUMBER(G14)),NOT(ISNUMBER(H14))),"미정",H14-G14)</x:f>
        <x:v>0.5999999999999996</x:v>
      </x:c>
      <x:c r="J14" s="3"/>
      <x:c r="K14" s="3"/>
      <x:c r="L14" s="3"/>
    </x:row>
    <x:row r="15" ht="25" customHeight="1">
      <x:c r="A15" s="3"/>
      <x:c r="B15" s="3" t="str">
        <x:v>영어</x:v>
      </x:c>
      <x:c r="C15" s="48" t="n">
        <x:f>'산정근거'!C9</x:f>
        <x:v>10</x:v>
      </x:c>
      <x:c r="D15" s="48" t="n">
        <x:f>SUMIFS('산정근거'!$I$25:$I$74,'산정근거'!$E$25:$E$74,'산정근거'!B9)</x:f>
        <x:v>141</x:v>
      </x:c>
      <x:c r="E15" s="48" t="n">
        <x:f>D15+SUMIFS('선택군비교'!$K$13:$K$26,'선택군비교'!$C$13:$C$26,'산정근거'!B9)</x:f>
        <x:v>144</x:v>
      </x:c>
      <x:c r="F15" s="49" t="n">
        <x:f>E15-D15</x:f>
        <x:v>3</x:v>
      </x:c>
      <x:c r="G15" s="50" t="n">
        <x:f>IF(OR(NOT(ISNUMBER(C15)),C15&lt;=0),"미정",D15/C15)</x:f>
        <x:v>14.1</x:v>
      </x:c>
      <x:c r="H15" s="50" t="n">
        <x:f>IF(OR(NOT(ISNUMBER(C15)),C15&lt;=0),"미정",E15/C15)</x:f>
        <x:v>14.4</x:v>
      </x:c>
      <x:c r="I15" s="51" t="n">
        <x:f>IF(OR(NOT(ISNUMBER(G15)),NOT(ISNUMBER(H15))),"미정",H15-G15)</x:f>
        <x:v>0.3000000000000007</x:v>
      </x:c>
      <x:c r="J15" s="3"/>
      <x:c r="K15" s="3"/>
      <x:c r="L15" s="3"/>
    </x:row>
    <x:row r="16" ht="25" customHeight="1">
      <x:c r="A16" s="3"/>
      <x:c r="B16" s="3" t="str">
        <x:v>일반사회</x:v>
      </x:c>
      <x:c r="C16" s="48" t="n">
        <x:f>'산정근거'!C10</x:f>
        <x:v>4</x:v>
      </x:c>
      <x:c r="D16" s="48" t="n">
        <x:f>SUMIFS('산정근거'!$I$25:$I$74,'산정근거'!$E$25:$E$74,'산정근거'!B10)</x:f>
        <x:v>51</x:v>
      </x:c>
      <x:c r="E16" s="48" t="n">
        <x:f>D16+SUMIFS('선택군비교'!$K$13:$K$26,'선택군비교'!$C$13:$C$26,'산정근거'!B10)</x:f>
        <x:v>48</x:v>
      </x:c>
      <x:c r="F16" s="49" t="n">
        <x:f>E16-D16</x:f>
        <x:v>-3</x:v>
      </x:c>
      <x:c r="G16" s="50" t="n">
        <x:f>IF(OR(NOT(ISNUMBER(C16)),C16&lt;=0),"미정",D16/C16)</x:f>
        <x:v>12.75</x:v>
      </x:c>
      <x:c r="H16" s="50" t="n">
        <x:f>IF(OR(NOT(ISNUMBER(C16)),C16&lt;=0),"미정",E16/C16)</x:f>
        <x:v>12</x:v>
      </x:c>
      <x:c r="I16" s="51" t="n">
        <x:f>IF(OR(NOT(ISNUMBER(G16)),NOT(ISNUMBER(H16))),"미정",H16-G16)</x:f>
        <x:v>-0.75</x:v>
      </x:c>
      <x:c r="J16" s="3"/>
      <x:c r="K16" s="3"/>
      <x:c r="L16" s="3"/>
    </x:row>
    <x:row r="17" ht="25" customHeight="1">
      <x:c r="A17" s="3"/>
      <x:c r="B17" s="3" t="str">
        <x:v>지리</x:v>
      </x:c>
      <x:c r="C17" s="48" t="n">
        <x:f>'산정근거'!C11</x:f>
        <x:v>2</x:v>
      </x:c>
      <x:c r="D17" s="48" t="n">
        <x:f>SUMIFS('산정근거'!$I$25:$I$74,'산정근거'!$E$25:$E$74,'산정근거'!B11)</x:f>
        <x:v>30</x:v>
      </x:c>
      <x:c r="E17" s="48" t="n">
        <x:f>D17+SUMIFS('선택군비교'!$K$13:$K$26,'선택군비교'!$C$13:$C$26,'산정근거'!B11)</x:f>
        <x:v>27</x:v>
      </x:c>
      <x:c r="F17" s="49" t="n">
        <x:f>E17-D17</x:f>
        <x:v>-3</x:v>
      </x:c>
      <x:c r="G17" s="50" t="n">
        <x:f>IF(OR(NOT(ISNUMBER(C17)),C17&lt;=0),"미정",D17/C17)</x:f>
        <x:v>15</x:v>
      </x:c>
      <x:c r="H17" s="50" t="n">
        <x:f>IF(OR(NOT(ISNUMBER(C17)),C17&lt;=0),"미정",E17/C17)</x:f>
        <x:v>13.5</x:v>
      </x:c>
      <x:c r="I17" s="51" t="n">
        <x:f>IF(OR(NOT(ISNUMBER(G17)),NOT(ISNUMBER(H17))),"미정",H17-G17)</x:f>
        <x:v>-1.5</x:v>
      </x:c>
      <x:c r="J17" s="3"/>
      <x:c r="K17" s="3"/>
      <x:c r="L17" s="3"/>
    </x:row>
    <x:row r="18" ht="25" customHeight="1">
      <x:c r="A18" s="3"/>
      <x:c r="B18" s="3" t="str">
        <x:v>역사</x:v>
      </x:c>
      <x:c r="C18" s="48" t="n">
        <x:f>'산정근거'!C12</x:f>
        <x:v>3</x:v>
      </x:c>
      <x:c r="D18" s="48" t="n">
        <x:f>SUMIFS('산정근거'!$I$25:$I$74,'산정근거'!$E$25:$E$74,'산정근거'!B12)</x:f>
        <x:v>60</x:v>
      </x:c>
      <x:c r="E18" s="48" t="n">
        <x:f>D18+SUMIFS('선택군비교'!$K$13:$K$26,'선택군비교'!$C$13:$C$26,'산정근거'!B12)</x:f>
        <x:v>60</x:v>
      </x:c>
      <x:c r="F18" s="49" t="n">
        <x:f>E18-D18</x:f>
        <x:v>0</x:v>
      </x:c>
      <x:c r="G18" s="50" t="n">
        <x:f>IF(OR(NOT(ISNUMBER(C18)),C18&lt;=0),"미정",D18/C18)</x:f>
        <x:v>20</x:v>
      </x:c>
      <x:c r="H18" s="50" t="n">
        <x:f>IF(OR(NOT(ISNUMBER(C18)),C18&lt;=0),"미정",E18/C18)</x:f>
        <x:v>20</x:v>
      </x:c>
      <x:c r="I18" s="51" t="n">
        <x:f>IF(OR(NOT(ISNUMBER(G18)),NOT(ISNUMBER(H18))),"미정",H18-G18)</x:f>
        <x:v>0</x:v>
      </x:c>
      <x:c r="J18" s="3"/>
      <x:c r="K18" s="3"/>
      <x:c r="L18" s="3"/>
    </x:row>
    <x:row r="19" ht="25" customHeight="1">
      <x:c r="A19" s="3"/>
      <x:c r="B19" s="3" t="str">
        <x:v>윤리</x:v>
      </x:c>
      <x:c r="C19" s="48" t="n">
        <x:f>'산정근거'!C13</x:f>
        <x:v>3</x:v>
      </x:c>
      <x:c r="D19" s="48" t="n">
        <x:f>SUMIFS('산정근거'!$I$25:$I$74,'산정근거'!$E$25:$E$74,'산정근거'!B13)</x:f>
        <x:v>30</x:v>
      </x:c>
      <x:c r="E19" s="48" t="n">
        <x:f>D19+SUMIFS('선택군비교'!$K$13:$K$26,'선택군비교'!$C$13:$C$26,'산정근거'!B13)</x:f>
        <x:v>30</x:v>
      </x:c>
      <x:c r="F19" s="49" t="n">
        <x:f>E19-D19</x:f>
        <x:v>0</x:v>
      </x:c>
      <x:c r="G19" s="50" t="n">
        <x:f>IF(OR(NOT(ISNUMBER(C19)),C19&lt;=0),"미정",D19/C19)</x:f>
        <x:v>10</x:v>
      </x:c>
      <x:c r="H19" s="50" t="n">
        <x:f>IF(OR(NOT(ISNUMBER(C19)),C19&lt;=0),"미정",E19/C19)</x:f>
        <x:v>10</x:v>
      </x:c>
      <x:c r="I19" s="51" t="n">
        <x:f>IF(OR(NOT(ISNUMBER(G19)),NOT(ISNUMBER(H19))),"미정",H19-G19)</x:f>
        <x:v>0</x:v>
      </x:c>
      <x:c r="J19" s="3"/>
      <x:c r="K19" s="3"/>
      <x:c r="L19" s="3"/>
    </x:row>
    <x:row r="20" ht="25" customHeight="1">
      <x:c r="A20" s="3"/>
      <x:c r="B20" s="3" t="str">
        <x:v>물리</x:v>
      </x:c>
      <x:c r="C20" s="48" t="n">
        <x:f>'산정근거'!C14</x:f>
        <x:v>2</x:v>
      </x:c>
      <x:c r="D20" s="48" t="n">
        <x:f>SUMIFS('산정근거'!$I$25:$I$74,'산정근거'!$E$25:$E$74,'산정근거'!B14)</x:f>
        <x:v>21</x:v>
      </x:c>
      <x:c r="E20" s="48" t="n">
        <x:f>D20+SUMIFS('선택군비교'!$K$13:$K$26,'선택군비교'!$C$13:$C$26,'산정근거'!B14)</x:f>
        <x:v>18</x:v>
      </x:c>
      <x:c r="F20" s="49" t="n">
        <x:f>E20-D20</x:f>
        <x:v>-3</x:v>
      </x:c>
      <x:c r="G20" s="50" t="n">
        <x:f>IF(OR(NOT(ISNUMBER(C20)),C20&lt;=0),"미정",D20/C20)</x:f>
        <x:v>10.5</x:v>
      </x:c>
      <x:c r="H20" s="50" t="n">
        <x:f>IF(OR(NOT(ISNUMBER(C20)),C20&lt;=0),"미정",E20/C20)</x:f>
        <x:v>9</x:v>
      </x:c>
      <x:c r="I20" s="51" t="n">
        <x:f>IF(OR(NOT(ISNUMBER(G20)),NOT(ISNUMBER(H20))),"미정",H20-G20)</x:f>
        <x:v>-1.5</x:v>
      </x:c>
      <x:c r="J20" s="3"/>
      <x:c r="K20" s="3"/>
      <x:c r="L20" s="3"/>
    </x:row>
    <x:row r="21" ht="25" customHeight="1">
      <x:c r="A21" s="3"/>
      <x:c r="B21" s="3" t="str">
        <x:v>화학</x:v>
      </x:c>
      <x:c r="C21" s="48" t="n">
        <x:f>'산정근거'!C15</x:f>
        <x:v>3</x:v>
      </x:c>
      <x:c r="D21" s="48" t="n">
        <x:f>SUMIFS('산정근거'!$I$25:$I$74,'산정근거'!$E$25:$E$74,'산정근거'!B15)</x:f>
        <x:v>39</x:v>
      </x:c>
      <x:c r="E21" s="48" t="n">
        <x:f>D21+SUMIFS('선택군비교'!$K$13:$K$26,'선택군비교'!$C$13:$C$26,'산정근거'!B15)</x:f>
        <x:v>36</x:v>
      </x:c>
      <x:c r="F21" s="49" t="n">
        <x:f>E21-D21</x:f>
        <x:v>-3</x:v>
      </x:c>
      <x:c r="G21" s="50" t="n">
        <x:f>IF(OR(NOT(ISNUMBER(C21)),C21&lt;=0),"미정",D21/C21)</x:f>
        <x:v>13</x:v>
      </x:c>
      <x:c r="H21" s="50" t="n">
        <x:f>IF(OR(NOT(ISNUMBER(C21)),C21&lt;=0),"미정",E21/C21)</x:f>
        <x:v>12</x:v>
      </x:c>
      <x:c r="I21" s="51" t="n">
        <x:f>IF(OR(NOT(ISNUMBER(G21)),NOT(ISNUMBER(H21))),"미정",H21-G21)</x:f>
        <x:v>-1</x:v>
      </x:c>
      <x:c r="J21" s="3"/>
      <x:c r="K21" s="3"/>
      <x:c r="L21" s="3"/>
    </x:row>
    <x:row r="22" ht="25" customHeight="1">
      <x:c r="A22" s="3"/>
      <x:c r="B22" s="3" t="str">
        <x:v>생물</x:v>
      </x:c>
      <x:c r="C22" s="48" t="n">
        <x:f>'산정근거'!C16</x:f>
        <x:v>3</x:v>
      </x:c>
      <x:c r="D22" s="48" t="n">
        <x:f>SUMIFS('산정근거'!$I$25:$I$74,'산정근거'!$E$25:$E$74,'산정근거'!B16)</x:f>
        <x:v>33</x:v>
      </x:c>
      <x:c r="E22" s="48" t="n">
        <x:f>D22+SUMIFS('선택군비교'!$K$13:$K$26,'선택군비교'!$C$13:$C$26,'산정근거'!B16)</x:f>
        <x:v>33</x:v>
      </x:c>
      <x:c r="F22" s="49" t="n">
        <x:f>E22-D22</x:f>
        <x:v>0</x:v>
      </x:c>
      <x:c r="G22" s="50" t="n">
        <x:f>IF(OR(NOT(ISNUMBER(C22)),C22&lt;=0),"미정",D22/C22)</x:f>
        <x:v>11</x:v>
      </x:c>
      <x:c r="H22" s="50" t="n">
        <x:f>IF(OR(NOT(ISNUMBER(C22)),C22&lt;=0),"미정",E22/C22)</x:f>
        <x:v>11</x:v>
      </x:c>
      <x:c r="I22" s="51" t="n">
        <x:f>IF(OR(NOT(ISNUMBER(G22)),NOT(ISNUMBER(H22))),"미정",H22-G22)</x:f>
        <x:v>0</x:v>
      </x:c>
      <x:c r="J22" s="3"/>
      <x:c r="K22" s="3"/>
      <x:c r="L22" s="3"/>
    </x:row>
    <x:row r="23" ht="25" customHeight="1">
      <x:c r="A23" s="3"/>
      <x:c r="B23" s="3" t="str">
        <x:v>지구과학</x:v>
      </x:c>
      <x:c r="C23" s="48" t="n">
        <x:f>'산정근거'!C17</x:f>
        <x:v>3</x:v>
      </x:c>
      <x:c r="D23" s="48" t="n">
        <x:f>SUMIFS('산정근거'!$I$25:$I$74,'산정근거'!$E$25:$E$74,'산정근거'!B17)</x:f>
        <x:v>12</x:v>
      </x:c>
      <x:c r="E23" s="48" t="n">
        <x:f>D23+SUMIFS('선택군비교'!$K$13:$K$26,'선택군비교'!$C$13:$C$26,'산정근거'!B17)</x:f>
        <x:v>12</x:v>
      </x:c>
      <x:c r="F23" s="49" t="n">
        <x:f>E23-D23</x:f>
        <x:v>0</x:v>
      </x:c>
      <x:c r="G23" s="50" t="n">
        <x:f>IF(OR(NOT(ISNUMBER(C23)),C23&lt;=0),"미정",D23/C23)</x:f>
        <x:v>4</x:v>
      </x:c>
      <x:c r="H23" s="50" t="n">
        <x:f>IF(OR(NOT(ISNUMBER(C23)),C23&lt;=0),"미정",E23/C23)</x:f>
        <x:v>4</x:v>
      </x:c>
      <x:c r="I23" s="51" t="n">
        <x:f>IF(OR(NOT(ISNUMBER(G23)),NOT(ISNUMBER(H23))),"미정",H23-G23)</x:f>
        <x:v>0</x:v>
      </x:c>
      <x:c r="J23" s="3"/>
      <x:c r="K23" s="3"/>
      <x:c r="L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5" customHeight="1">
      <x:c r="A25" s="3"/>
      <x:c r="B25" s="5" t="str">
        <x:v>세부 교과 평균은 공통과목 배정 전입니다. 역사에는 역사로 탐구하는 현대 세계를 포함했습니다.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5" customHeight="1">
      <x:c r="A26" s="3"/>
      <x:c r="B26" s="5" t="str">
        <x:v>공통과목 배정량을 두 안에서 동일하게 유지하면, 평균 증감은 실제 배정 후에도 같습니다.</x:v>
      </x:c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9" customHeight="1">
      <x:c r="A29" s="3"/>
      <x:c r="B29" s="11" t="str">
        <x:v>공통과목</x:v>
      </x:c>
      <x:c r="C29" s="12" t="str">
        <x:v>기존 시수</x:v>
      </x:c>
      <x:c r="D29" s="12" t="str">
        <x:v>변경 시수</x:v>
      </x:c>
      <x:c r="E29" s="13" t="str">
        <x:v>증감</x:v>
      </x:c>
      <x:c r="F29" s="3"/>
      <x:c r="G29" s="16" t="str">
        <x:v>학교 전체 시수</x:v>
      </x:c>
      <x:c r="H29" s="3"/>
      <x:c r="I29" s="3"/>
      <x:c r="J29" s="3"/>
      <x:c r="K29" s="3"/>
      <x:c r="L29" s="3"/>
    </x:row>
    <x:row r="30" ht="25" customHeight="1">
      <x:c r="A30" s="3"/>
      <x:c r="B30" s="3" t="str">
        <x:v>통합사회</x:v>
      </x:c>
      <x:c r="C30" s="17" t="n">
        <x:f>SUMIFS('산정근거'!$I$25:$I$74,'산정근거'!$D$25:$D$74,"통합사회1")</x:f>
        <x:v>48</x:v>
      </x:c>
      <x:c r="D30" s="17" t="n">
        <x:f>C30</x:f>
        <x:v>48</x:v>
      </x:c>
      <x:c r="E30" s="17" t="n">
        <x:f>D30-C30</x:f>
        <x:v>0</x:v>
      </x:c>
      <x:c r="F30" s="3"/>
      <x:c r="G30" s="3" t="str">
        <x:v>기존안</x:v>
      </x:c>
      <x:c r="H30" s="17" t="n">
        <x:f>SUM('산정근거'!I25:I74)</x:f>
        <x:v>1044</x:v>
      </x:c>
      <x:c r="I30" s="3"/>
      <x:c r="J30" s="3"/>
      <x:c r="K30" s="3"/>
      <x:c r="L30" s="3"/>
    </x:row>
    <x:row r="31" ht="25" customHeight="1">
      <x:c r="A31" s="3"/>
      <x:c r="B31" s="3" t="str">
        <x:v>통합과학</x:v>
      </x:c>
      <x:c r="C31" s="17" t="n">
        <x:f>SUMIFS('산정근거'!$I$25:$I$74,'산정근거'!$D$25:$D$74,"통합과학1")</x:f>
        <x:v>48</x:v>
      </x:c>
      <x:c r="D31" s="17" t="n">
        <x:f>C31</x:f>
        <x:v>48</x:v>
      </x:c>
      <x:c r="E31" s="17" t="n">
        <x:f>D31-C31</x:f>
        <x:v>0</x:v>
      </x:c>
      <x:c r="F31" s="3"/>
      <x:c r="G31" s="3" t="str">
        <x:v>변경안</x:v>
      </x:c>
      <x:c r="H31" s="17" t="n">
        <x:f>H30+'선택군비교'!K27</x:f>
        <x:v>1044</x:v>
      </x:c>
      <x:c r="I31" s="3"/>
      <x:c r="J31" s="3"/>
      <x:c r="K31" s="3"/>
      <x:c r="L31" s="3"/>
    </x:row>
    <x:row r="32" ht="25" customHeight="1">
      <x:c r="A32" s="3"/>
      <x:c r="B32" s="3" t="str">
        <x:v>과학탐구실험</x:v>
      </x:c>
      <x:c r="C32" s="17" t="n">
        <x:f>SUMIFS('산정근거'!$I$25:$I$74,'산정근거'!$D$25:$D$74,"과학탐구실험1")</x:f>
        <x:v>12</x:v>
      </x:c>
      <x:c r="D32" s="17" t="n">
        <x:f>C32</x:f>
        <x:v>12</x:v>
      </x:c>
      <x:c r="E32" s="17" t="n">
        <x:f>D32-C32</x:f>
        <x:v>0</x:v>
      </x:c>
      <x:c r="F32" s="3"/>
      <x:c r="G32" s="3" t="str">
        <x:v>증감</x:v>
      </x:c>
      <x:c r="H32" s="17" t="n">
        <x:f>H31-H30</x:f>
        <x:v>0</x:v>
      </x:c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5" t="str">
        <x:v>교사 수 수정: 산정근거 시트의 노란 칸. 초기값은 배당표에 기재된 2026학년도 참고 정원입니다.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3"/>
      <x:c r="B35" s="5" t="str">
        <x:f>"영어의 순증감은 "&amp;TEXT(F15,"+0;-0;0")&amp;"시수입니다. 택1에서 빠지는 시수와 택4에서 늘어나는 시수를 함께 반영했습니다."</x:f>
        <x:v>영어의 순증감은 +3시수입니다. 택1에서 빠지는 시수와 택4에서 늘어나는 시수를 함께 반영했습니다.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3"/>
      <x:c r="B36" s="5" t="str">
        <x:v>경제 수요를 보정한 결과입니다. 공통·융합과목 배정 후 교과별 평균은 배정 후 비교 시트에서 확인합니다.</x:v>
      </x:c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</x:sheetData>
  <x:conditionalFormatting sqref="F7:F8">
    <x:cfRule type="cellIs" dxfId="4" priority="1" operator="greaterThan">
      <x:formula>0</x:formula>
    </x:cfRule>
    <x:cfRule type="cellIs" dxfId="5" priority="2" operator="lessThan">
      <x:formula>0</x:formula>
    </x:cfRule>
  </x:conditionalFormatting>
  <x:conditionalFormatting sqref="F13:F23">
    <x:cfRule type="cellIs" dxfId="6" priority="3" operator="greaterThan">
      <x:formula>0</x:formula>
    </x:cfRule>
    <x:cfRule type="cellIs" dxfId="7" priority="4" operator="lessThan">
      <x:formula>0</x:formula>
    </x:cfRule>
  </x:conditionalFormatting>
  <x:conditionalFormatting sqref="I7:I8">
    <x:cfRule type="cellIs" dxfId="8" priority="5" operator="greaterThan">
      <x:formula>0</x:formula>
    </x:cfRule>
    <x:cfRule type="cellIs" dxfId="9" priority="6" operator="lessThan">
      <x:formula>0</x:formula>
    </x:cfRule>
  </x:conditionalFormatting>
  <x:conditionalFormatting sqref="I13:I23">
    <x:cfRule type="cellIs" dxfId="10" priority="7" operator="greaterThan">
      <x:formula>0</x:formula>
    </x:cfRule>
    <x:cfRule type="cellIs" dxfId="11" priority="8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7718D"/>
  </x:sheetPr>
  <x:sheetViews>
    <x:sheetView showGridLines="0" workbookViewId="0" tabSelected="0"/>
  </x:sheetViews>
  <x:sheetFormatPr defaultRowHeight="15"/>
  <x:cols>
    <x:col min="1" max="1" width="2.5" hidden="0" customWidth="1"/>
    <x:col min="2" max="2" width="33.75" hidden="0" customWidth="1"/>
    <x:col min="3" max="3" width="11.880000114440918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2.5" hidden="0" customWidth="1"/>
    <x:col min="10" max="10" width="12.5" hidden="0" customWidth="1"/>
    <x:col min="11" max="11" width="11.25" hidden="0" customWidth="1"/>
    <x:col min="12" max="12" width="2.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3" customHeight="1">
      <x:c r="A2" s="3"/>
      <x:c r="B2" s="4" t="str">
        <x:v>선택군별 과목과 개설 반 수 비교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3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"/>
    </x:row>
    <x:row r="4" ht="25" customHeight="1">
      <x:c r="A4" s="3"/>
      <x:c r="B4" s="5" t="str">
        <x:v>2029학년도 3학년 1학기, 12학급. 경제 57명 수요를 보정한 기존안·변경안의 예상 반 수입니다.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9" customHeight="1">
      <x:c r="A6" s="3"/>
      <x:c r="B6" s="11" t="str">
        <x:v>선택군</x:v>
      </x:c>
      <x:c r="C6" s="12" t="str">
        <x:v>기존 반 수</x:v>
      </x:c>
      <x:c r="D6" s="12" t="str">
        <x:v>변경 반 수</x:v>
      </x:c>
      <x:c r="E6" s="12" t="str">
        <x:v>목표 반 수</x:v>
      </x:c>
      <x:c r="F6" s="13" t="str">
        <x:v>목표 차이</x:v>
      </x:c>
      <x:c r="G6" s="3"/>
      <x:c r="H6" s="3"/>
      <x:c r="I6" s="3"/>
      <x:c r="J6" s="3"/>
      <x:c r="K6" s="3"/>
      <x:c r="L6" s="3"/>
    </x:row>
    <x:row r="7" ht="25" customHeight="1">
      <x:c r="A7" s="3"/>
      <x:c r="B7" s="3" t="str">
        <x:v>택1</x:v>
      </x:c>
      <x:c r="C7" s="17" t="n">
        <x:f>SUMIFS($G$13:$G$26,$D$13:$D$26,B7)</x:f>
        <x:v>12</x:v>
      </x:c>
      <x:c r="D7" s="17" t="n">
        <x:f>SUMIFS($H$13:$H$26,$E$13:$E$26,B7)</x:f>
        <x:v>12</x:v>
      </x:c>
      <x:c r="E7" s="17" t="n">
        <x:f>'산정근거'!$G$9*'산정근거'!G11</x:f>
        <x:v>12</x:v>
      </x:c>
      <x:c r="F7" s="17" t="n">
        <x:f>D7-E7</x:f>
        <x:v>0</x:v>
      </x:c>
      <x:c r="G7" s="3"/>
      <x:c r="H7" s="3"/>
      <x:c r="I7" s="3"/>
      <x:c r="J7" s="3"/>
      <x:c r="K7" s="3"/>
      <x:c r="L7" s="3"/>
    </x:row>
    <x:row r="8" ht="25" customHeight="1">
      <x:c r="A8" s="3"/>
      <x:c r="B8" s="3" t="str">
        <x:v>택4</x:v>
      </x:c>
      <x:c r="C8" s="17" t="n">
        <x:f>SUMIFS($G$13:$G$26,$D$13:$D$26,B8)</x:f>
        <x:v>48</x:v>
      </x:c>
      <x:c r="D8" s="17" t="n">
        <x:f>SUMIFS($H$13:$H$26,$E$13:$E$26,B8)</x:f>
        <x:v>48</x:v>
      </x:c>
      <x:c r="E8" s="17" t="n">
        <x:f>'산정근거'!$G$9*'산정근거'!G12</x:f>
        <x:v>48</x:v>
      </x:c>
      <x:c r="F8" s="17" t="n">
        <x:f>D8-E8</x:f>
        <x:v>0</x:v>
      </x:c>
      <x:c r="G8" s="3"/>
      <x:c r="H8" s="3"/>
      <x:c r="I8" s="3"/>
      <x:c r="J8" s="3"/>
      <x:c r="K8" s="3"/>
      <x:c r="L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5" customHeight="1">
      <x:c r="A10" s="3"/>
      <x:c r="B10" s="5" t="str">
        <x:f>"영어는 택1의 "&amp;G26&amp;"반에서 택4의 "&amp;H26&amp;"반으로 이동합니다. 각 과목은 반당 주 3시수입니다."</x:f>
        <x:v>영어는 택1의 3반에서 택4의 4반으로 이동합니다. 각 과목은 반당 주 3시수입니다.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9" customHeight="1">
      <x:c r="A12" s="3"/>
      <x:c r="B12" s="11" t="str">
        <x:v>과목명</x:v>
      </x:c>
      <x:c r="C12" s="12" t="str">
        <x:v>담당 교과</x:v>
      </x:c>
      <x:c r="D12" s="12" t="str">
        <x:v>기존 선택군</x:v>
      </x:c>
      <x:c r="E12" s="12" t="str">
        <x:v>변경 선택군</x:v>
      </x:c>
      <x:c r="F12" s="12" t="str">
        <x:v>반당 시수</x:v>
      </x:c>
      <x:c r="G12" s="12" t="str">
        <x:v>기존 반 수</x:v>
      </x:c>
      <x:c r="H12" s="12" t="str">
        <x:v>변경 반 수</x:v>
      </x:c>
      <x:c r="I12" s="12" t="str">
        <x:v>기존 시수</x:v>
      </x:c>
      <x:c r="J12" s="12" t="str">
        <x:v>변경 시수</x:v>
      </x:c>
      <x:c r="K12" s="13" t="str">
        <x:v>시수 증감</x:v>
      </x:c>
      <x:c r="L12" s="3"/>
    </x:row>
    <x:row r="13" ht="25" customHeight="1">
      <x:c r="A13" s="3"/>
      <x:c r="B13" s="3" t="str">
        <x:v>문학과 영상</x:v>
      </x:c>
      <x:c r="C13" s="3" t="str">
        <x:v>국어</x:v>
      </x:c>
      <x:c r="D13" s="3" t="str">
        <x:v>택1</x:v>
      </x:c>
      <x:c r="E13" s="3" t="str">
        <x:v>택1</x:v>
      </x:c>
      <x:c r="F13" s="48" t="n">
        <x:f>'산정근거'!G57</x:f>
        <x:v>3</x:v>
      </x:c>
      <x:c r="G13" s="48" t="n">
        <x:f>'산정근거'!H57</x:f>
        <x:v>3</x:v>
      </x:c>
      <x:c r="H13" s="52" t="n">
        <x:v>4</x:v>
      </x:c>
      <x:c r="I13" s="48" t="n">
        <x:f>F13*G13</x:f>
        <x:v>9</x:v>
      </x:c>
      <x:c r="J13" s="48" t="n">
        <x:f>F13*H13</x:f>
        <x:v>12</x:v>
      </x:c>
      <x:c r="K13" s="49" t="n">
        <x:f>J13-I13</x:f>
        <x:v>3</x:v>
      </x:c>
      <x:c r="L13" s="3"/>
    </x:row>
    <x:row r="14" ht="25" customHeight="1">
      <x:c r="A14" s="3"/>
      <x:c r="B14" s="3" t="str">
        <x:v>미적분Ⅱ</x:v>
      </x:c>
      <x:c r="C14" s="3" t="str">
        <x:v>수학</x:v>
      </x:c>
      <x:c r="D14" s="3" t="str">
        <x:v>택1</x:v>
      </x:c>
      <x:c r="E14" s="3" t="str">
        <x:v>택1</x:v>
      </x:c>
      <x:c r="F14" s="48" t="n">
        <x:f>'산정근거'!G58</x:f>
        <x:v>3</x:v>
      </x:c>
      <x:c r="G14" s="48" t="n">
        <x:f>'산정근거'!H58</x:f>
        <x:v>3</x:v>
      </x:c>
      <x:c r="H14" s="52" t="n">
        <x:v>4</x:v>
      </x:c>
      <x:c r="I14" s="48" t="n">
        <x:f>F14*G14</x:f>
        <x:v>9</x:v>
      </x:c>
      <x:c r="J14" s="48" t="n">
        <x:f>F14*H14</x:f>
        <x:v>12</x:v>
      </x:c>
      <x:c r="K14" s="49" t="n">
        <x:f>J14-I14</x:f>
        <x:v>3</x:v>
      </x:c>
      <x:c r="L14" s="3"/>
    </x:row>
    <x:row r="15" ht="25" customHeight="1">
      <x:c r="A15" s="3"/>
      <x:c r="B15" s="3" t="str">
        <x:v>실용 통계</x:v>
      </x:c>
      <x:c r="C15" s="3" t="str">
        <x:v>수학</x:v>
      </x:c>
      <x:c r="D15" s="3" t="str">
        <x:v>택1</x:v>
      </x:c>
      <x:c r="E15" s="3" t="str">
        <x:v>택1</x:v>
      </x:c>
      <x:c r="F15" s="48" t="n">
        <x:f>'산정근거'!G59</x:f>
        <x:v>3</x:v>
      </x:c>
      <x:c r="G15" s="48" t="n">
        <x:f>'산정근거'!H59</x:f>
        <x:v>3</x:v>
      </x:c>
      <x:c r="H15" s="52" t="n">
        <x:v>4</x:v>
      </x:c>
      <x:c r="I15" s="48" t="n">
        <x:f>F15*G15</x:f>
        <x:v>9</x:v>
      </x:c>
      <x:c r="J15" s="48" t="n">
        <x:f>F15*H15</x:f>
        <x:v>12</x:v>
      </x:c>
      <x:c r="K15" s="49" t="n">
        <x:f>J15-I15</x:f>
        <x:v>3</x:v>
      </x:c>
      <x:c r="L15" s="3"/>
    </x:row>
    <x:row r="16" ht="25" customHeight="1">
      <x:c r="A16" s="3"/>
      <x:c r="B16" s="3" t="str">
        <x:v>인공지능 수학</x:v>
      </x:c>
      <x:c r="C16" s="3" t="str">
        <x:v>수학</x:v>
      </x:c>
      <x:c r="D16" s="3" t="str">
        <x:v>택4</x:v>
      </x:c>
      <x:c r="E16" s="3" t="str">
        <x:v>택4</x:v>
      </x:c>
      <x:c r="F16" s="48" t="n">
        <x:f>'산정근거'!G61</x:f>
        <x:v>3</x:v>
      </x:c>
      <x:c r="G16" s="48" t="n">
        <x:f>'산정근거'!H61</x:f>
        <x:v>4</x:v>
      </x:c>
      <x:c r="H16" s="52" t="n">
        <x:f>'경제 수요 보정'!K58</x:f>
        <x:v>4</x:v>
      </x:c>
      <x:c r="I16" s="48" t="n">
        <x:f>F16*G16</x:f>
        <x:v>12</x:v>
      </x:c>
      <x:c r="J16" s="48" t="n">
        <x:f>F16*H16</x:f>
        <x:v>12</x:v>
      </x:c>
      <x:c r="K16" s="49" t="n">
        <x:f>J16-I16</x:f>
        <x:v>0</x:v>
      </x:c>
      <x:c r="L16" s="3"/>
    </x:row>
    <x:row r="17" ht="25" customHeight="1">
      <x:c r="A17" s="3"/>
      <x:c r="B17" s="3" t="str">
        <x:v>도시의 미래 탐구</x:v>
      </x:c>
      <x:c r="C17" s="3" t="str">
        <x:v>지리</x:v>
      </x:c>
      <x:c r="D17" s="3" t="str">
        <x:v>택4</x:v>
      </x:c>
      <x:c r="E17" s="3" t="str">
        <x:v>택4</x:v>
      </x:c>
      <x:c r="F17" s="48" t="n">
        <x:f>'산정근거'!G62</x:f>
        <x:v>3</x:v>
      </x:c>
      <x:c r="G17" s="48" t="n">
        <x:f>'산정근거'!H62</x:f>
        <x:v>7</x:v>
      </x:c>
      <x:c r="H17" s="52" t="n">
        <x:f>'경제 수요 보정'!K59</x:f>
        <x:v>6</x:v>
      </x:c>
      <x:c r="I17" s="48" t="n">
        <x:f>F17*G17</x:f>
        <x:v>21</x:v>
      </x:c>
      <x:c r="J17" s="48" t="n">
        <x:f>F17*H17</x:f>
        <x:v>18</x:v>
      </x:c>
      <x:c r="K17" s="49" t="n">
        <x:f>J17-I17</x:f>
        <x:v>-3</x:v>
      </x:c>
      <x:c r="L17" s="3"/>
    </x:row>
    <x:row r="18" ht="25" customHeight="1">
      <x:c r="A18" s="3"/>
      <x:c r="B18" s="3" t="str">
        <x:v>경제</x:v>
      </x:c>
      <x:c r="C18" s="3" t="str">
        <x:v>일반사회</x:v>
      </x:c>
      <x:c r="D18" s="3" t="str">
        <x:v>택4</x:v>
      </x:c>
      <x:c r="E18" s="3" t="str">
        <x:v>택4</x:v>
      </x:c>
      <x:c r="F18" s="48" t="n">
        <x:f>'산정근거'!G63</x:f>
        <x:v>3</x:v>
      </x:c>
      <x:c r="G18" s="48" t="n">
        <x:f>'산정근거'!H63</x:f>
        <x:v>4</x:v>
      </x:c>
      <x:c r="H18" s="52" t="n">
        <x:f>'경제 수요 보정'!K60</x:f>
        <x:v>4</x:v>
      </x:c>
      <x:c r="I18" s="48" t="n">
        <x:f>F18*G18</x:f>
        <x:v>12</x:v>
      </x:c>
      <x:c r="J18" s="48" t="n">
        <x:f>F18*H18</x:f>
        <x:v>12</x:v>
      </x:c>
      <x:c r="K18" s="49" t="n">
        <x:f>J18-I18</x:f>
        <x:v>0</x:v>
      </x:c>
      <x:c r="L18" s="3"/>
    </x:row>
    <x:row r="19" ht="25" customHeight="1">
      <x:c r="A19" s="3"/>
      <x:c r="B19" s="3" t="str">
        <x:v>인문학과 윤리</x:v>
      </x:c>
      <x:c r="C19" s="3" t="str">
        <x:v>윤리</x:v>
      </x:c>
      <x:c r="D19" s="3" t="str">
        <x:v>택4</x:v>
      </x:c>
      <x:c r="E19" s="3" t="str">
        <x:v>택4</x:v>
      </x:c>
      <x:c r="F19" s="48" t="n">
        <x:f>'산정근거'!G64</x:f>
        <x:v>3</x:v>
      </x:c>
      <x:c r="G19" s="48" t="n">
        <x:f>'산정근거'!H64</x:f>
        <x:v>4</x:v>
      </x:c>
      <x:c r="H19" s="52" t="n">
        <x:f>'경제 수요 보정'!K61</x:f>
        <x:v>4</x:v>
      </x:c>
      <x:c r="I19" s="48" t="n">
        <x:f>F19*G19</x:f>
        <x:v>12</x:v>
      </x:c>
      <x:c r="J19" s="48" t="n">
        <x:f>F19*H19</x:f>
        <x:v>12</x:v>
      </x:c>
      <x:c r="K19" s="49" t="n">
        <x:f>J19-I19</x:f>
        <x:v>0</x:v>
      </x:c>
      <x:c r="L19" s="3"/>
    </x:row>
    <x:row r="20" ht="25" customHeight="1">
      <x:c r="A20" s="3"/>
      <x:c r="B20" s="3" t="str">
        <x:v>국제 관계의 이해</x:v>
      </x:c>
      <x:c r="C20" s="3" t="str">
        <x:v>일반사회</x:v>
      </x:c>
      <x:c r="D20" s="3" t="str">
        <x:v>택4</x:v>
      </x:c>
      <x:c r="E20" s="3" t="str">
        <x:v>택4</x:v>
      </x:c>
      <x:c r="F20" s="48" t="n">
        <x:f>'산정근거'!G65</x:f>
        <x:v>3</x:v>
      </x:c>
      <x:c r="G20" s="48" t="n">
        <x:f>'산정근거'!H65</x:f>
        <x:v>7</x:v>
      </x:c>
      <x:c r="H20" s="52" t="n">
        <x:f>'경제 수요 보정'!K62</x:f>
        <x:v>6</x:v>
      </x:c>
      <x:c r="I20" s="48" t="n">
        <x:f>F20*G20</x:f>
        <x:v>21</x:v>
      </x:c>
      <x:c r="J20" s="48" t="n">
        <x:f>F20*H20</x:f>
        <x:v>18</x:v>
      </x:c>
      <x:c r="K20" s="49" t="n">
        <x:f>J20-I20</x:f>
        <x:v>-3</x:v>
      </x:c>
      <x:c r="L20" s="3"/>
    </x:row>
    <x:row r="21" ht="25" customHeight="1">
      <x:c r="A21" s="3"/>
      <x:c r="B21" s="3" t="str">
        <x:v>역사로 탐구하는 현대 세계</x:v>
      </x:c>
      <x:c r="C21" s="3" t="str">
        <x:v>역사</x:v>
      </x:c>
      <x:c r="D21" s="3" t="str">
        <x:v>택4</x:v>
      </x:c>
      <x:c r="E21" s="3" t="str">
        <x:v>택4</x:v>
      </x:c>
      <x:c r="F21" s="48" t="n">
        <x:f>'산정근거'!G66</x:f>
        <x:v>3</x:v>
      </x:c>
      <x:c r="G21" s="48" t="n">
        <x:f>'산정근거'!H66</x:f>
        <x:v>5</x:v>
      </x:c>
      <x:c r="H21" s="52" t="n">
        <x:f>'경제 수요 보정'!K63</x:f>
        <x:v>5</x:v>
      </x:c>
      <x:c r="I21" s="48" t="n">
        <x:f>F21*G21</x:f>
        <x:v>15</x:v>
      </x:c>
      <x:c r="J21" s="48" t="n">
        <x:f>F21*H21</x:f>
        <x:v>15</x:v>
      </x:c>
      <x:c r="K21" s="49" t="n">
        <x:f>J21-I21</x:f>
        <x:v>0</x:v>
      </x:c>
      <x:c r="L21" s="3"/>
    </x:row>
    <x:row r="22" ht="25" customHeight="1">
      <x:c r="A22" s="3"/>
      <x:c r="B22" s="3" t="str">
        <x:v>전자기와 양자</x:v>
      </x:c>
      <x:c r="C22" s="3" t="str">
        <x:v>물리학</x:v>
      </x:c>
      <x:c r="D22" s="3" t="str">
        <x:v>택4</x:v>
      </x:c>
      <x:c r="E22" s="3" t="str">
        <x:v>택4</x:v>
      </x:c>
      <x:c r="F22" s="48" t="n">
        <x:f>'산정근거'!G67</x:f>
        <x:v>3</x:v>
      </x:c>
      <x:c r="G22" s="48" t="n">
        <x:f>'산정근거'!H67</x:f>
        <x:v>3</x:v>
      </x:c>
      <x:c r="H22" s="52" t="n">
        <x:f>'경제 수요 보정'!K64</x:f>
        <x:v>2</x:v>
      </x:c>
      <x:c r="I22" s="48" t="n">
        <x:f>F22*G22</x:f>
        <x:v>9</x:v>
      </x:c>
      <x:c r="J22" s="48" t="n">
        <x:f>F22*H22</x:f>
        <x:v>6</x:v>
      </x:c>
      <x:c r="K22" s="49" t="n">
        <x:f>J22-I22</x:f>
        <x:v>-3</x:v>
      </x:c>
      <x:c r="L22" s="3"/>
    </x:row>
    <x:row r="23" ht="25" customHeight="1">
      <x:c r="A23" s="3"/>
      <x:c r="B23" s="3" t="str">
        <x:v>물질과 에너지</x:v>
      </x:c>
      <x:c r="C23" s="3" t="str">
        <x:v>화학</x:v>
      </x:c>
      <x:c r="D23" s="3" t="str">
        <x:v>택4</x:v>
      </x:c>
      <x:c r="E23" s="3" t="str">
        <x:v>택4</x:v>
      </x:c>
      <x:c r="F23" s="48" t="n">
        <x:f>'산정근거'!G68</x:f>
        <x:v>3</x:v>
      </x:c>
      <x:c r="G23" s="48" t="n">
        <x:f>'산정근거'!H68</x:f>
        <x:v>8</x:v>
      </x:c>
      <x:c r="H23" s="52" t="n">
        <x:f>'경제 수요 보정'!K65</x:f>
        <x:v>7</x:v>
      </x:c>
      <x:c r="I23" s="48" t="n">
        <x:f>F23*G23</x:f>
        <x:v>24</x:v>
      </x:c>
      <x:c r="J23" s="48" t="n">
        <x:f>F23*H23</x:f>
        <x:v>21</x:v>
      </x:c>
      <x:c r="K23" s="49" t="n">
        <x:f>J23-I23</x:f>
        <x:v>-3</x:v>
      </x:c>
      <x:c r="L23" s="3"/>
    </x:row>
    <x:row r="24" ht="25" customHeight="1">
      <x:c r="A24" s="3"/>
      <x:c r="B24" s="3" t="str">
        <x:v>세포와 물질대사</x:v>
      </x:c>
      <x:c r="C24" s="3" t="str">
        <x:v>생명과학</x:v>
      </x:c>
      <x:c r="D24" s="3" t="str">
        <x:v>택4</x:v>
      </x:c>
      <x:c r="E24" s="3" t="str">
        <x:v>택4</x:v>
      </x:c>
      <x:c r="F24" s="48" t="n">
        <x:f>'산정근거'!G69</x:f>
        <x:v>3</x:v>
      </x:c>
      <x:c r="G24" s="48" t="n">
        <x:f>'산정근거'!H69</x:f>
        <x:v>6</x:v>
      </x:c>
      <x:c r="H24" s="52" t="n">
        <x:f>'경제 수요 보정'!K66</x:f>
        <x:v>6</x:v>
      </x:c>
      <x:c r="I24" s="48" t="n">
        <x:f>F24*G24</x:f>
        <x:v>18</x:v>
      </x:c>
      <x:c r="J24" s="48" t="n">
        <x:f>F24*H24</x:f>
        <x:v>18</x:v>
      </x:c>
      <x:c r="K24" s="49" t="n">
        <x:f>J24-I24</x:f>
        <x:v>0</x:v>
      </x:c>
      <x:c r="L24" s="3"/>
    </x:row>
    <x:row r="25" ht="25" customHeight="1">
      <x:c r="A25" s="3"/>
      <x:c r="B25" s="3" t="str">
        <x:v>지구시스템과학</x:v>
      </x:c>
      <x:c r="C25" s="3" t="str">
        <x:v>지구과학</x:v>
      </x:c>
      <x:c r="D25" s="3" t="str">
        <x:v>택4</x:v>
      </x:c>
      <x:c r="E25" s="3" t="str">
        <x:v>택4</x:v>
      </x:c>
      <x:c r="F25" s="48" t="n">
        <x:f>'산정근거'!G70</x:f>
        <x:v>3</x:v>
      </x:c>
      <x:c r="G25" s="48" t="n">
        <x:f>'산정근거'!H70</x:f>
        <x:v>0</x:v>
      </x:c>
      <x:c r="H25" s="52" t="n">
        <x:f>'경제 수요 보정'!K67</x:f>
        <x:v>0</x:v>
      </x:c>
      <x:c r="I25" s="48" t="n">
        <x:f>F25*G25</x:f>
        <x:v>0</x:v>
      </x:c>
      <x:c r="J25" s="48" t="n">
        <x:f>F25*H25</x:f>
        <x:v>0</x:v>
      </x:c>
      <x:c r="K25" s="49" t="n">
        <x:f>J25-I25</x:f>
        <x:v>0</x:v>
      </x:c>
      <x:c r="L25" s="3"/>
    </x:row>
    <x:row r="26" ht="25" customHeight="1">
      <x:c r="A26" s="3"/>
      <x:c r="B26" s="3" t="str">
        <x:v>세계 문화와 영어</x:v>
      </x:c>
      <x:c r="C26" s="3" t="str">
        <x:v>영어</x:v>
      </x:c>
      <x:c r="D26" s="3" t="str">
        <x:v>택1</x:v>
      </x:c>
      <x:c r="E26" s="3" t="str">
        <x:v>택4</x:v>
      </x:c>
      <x:c r="F26" s="48" t="n">
        <x:f>'산정근거'!G60</x:f>
        <x:v>3</x:v>
      </x:c>
      <x:c r="G26" s="48" t="n">
        <x:f>'산정근거'!H60</x:f>
        <x:v>3</x:v>
      </x:c>
      <x:c r="H26" s="52" t="n">
        <x:f>'경제 수요 보정'!K68</x:f>
        <x:v>4</x:v>
      </x:c>
      <x:c r="I26" s="48" t="n">
        <x:f>F26*G26</x:f>
        <x:v>9</x:v>
      </x:c>
      <x:c r="J26" s="48" t="n">
        <x:f>F26*H26</x:f>
        <x:v>12</x:v>
      </x:c>
      <x:c r="K26" s="49" t="n">
        <x:f>J26-I26</x:f>
        <x:v>3</x:v>
      </x:c>
      <x:c r="L26" s="3"/>
    </x:row>
    <x:row r="27" ht="29" customHeight="1">
      <x:c r="A27" s="3"/>
      <x:c r="B27" s="24" t="str">
        <x:v>두 선택군 합계</x:v>
      </x:c>
      <x:c r="C27" s="24"/>
      <x:c r="D27" s="24"/>
      <x:c r="E27" s="24"/>
      <x:c r="F27" s="37"/>
      <x:c r="G27" s="37" t="n">
        <x:f>SUM(G13:G26)</x:f>
        <x:v>60</x:v>
      </x:c>
      <x:c r="H27" s="37" t="n">
        <x:f>SUM(H13:H26)</x:f>
        <x:v>60</x:v>
      </x:c>
      <x:c r="I27" s="37" t="n">
        <x:f>SUM(I13:I26)</x:f>
        <x:v>180</x:v>
      </x:c>
      <x:c r="J27" s="37" t="n">
        <x:f>SUM(J13:J26)</x:f>
        <x:v>180</x:v>
      </x:c>
      <x:c r="K27" s="38" t="n">
        <x:f>SUM(K13:K26)</x:f>
        <x:v>0</x:v>
      </x:c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3"/>
      <x:c r="B29" s="5" t="str">
        <x:v>계산 방법: 기존안과 변경안에 같은 반올림 전 기준 비율을 사용하고, 이동 과목에는 도착 선택군 평균을 적용했습니다.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3"/>
      <x:c r="B30" s="5" t="str">
        <x:v>정수 반 수는 내림 후 소수점이 큰 과목부터 배분했습니다. 동률은 교육과정 순서이며, 이동 영어는 마지막에 두었습니다.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3"/>
      <x:c r="B31" s="5" t="str">
        <x:v>택4 반 수는 경제 수요 보정 시트의 계산과 연결됩니다. 직접 덮어쓰면 시수는 갱신되지만 선택군 자동 재배분은 해제됩니다.</x:v>
      </x:c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3"/>
      <x:c r="B32" s="5" t="str">
        <x:v>선택인원이 확정되면 감소하는 과목과 감소 폭도 달라질 수 있습니다.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</x:sheetData>
  <x:conditionalFormatting sqref="F7:F8">
    <x:cfRule type="cellIs" dxfId="1" priority="1" operator="notEqual">
      <x:formula>0</x:formula>
    </x:cfRule>
  </x:conditionalFormatting>
  <x:conditionalFormatting sqref="K13:K27">
    <x:cfRule type="cellIs" dxfId="2" priority="2" operator="greaterThan">
      <x:formula>0</x:formula>
    </x:cfRule>
    <x:cfRule type="cellIs" dxfId="3" priority="3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1A4B7"/>
  </x:sheetPr>
  <x:sheetViews>
    <x:sheetView showGridLines="0" workbookViewId="0" tabSelected="0">
      <x:pane xSplit="4" topLeftCell="E1" activePane="topRight" state="frozen"/>
    </x:sheetView>
  </x:sheetViews>
  <x:sheetFormatPr defaultRowHeight="15"/>
  <x:cols>
    <x:col min="1" max="1" width="2.5" hidden="0" customWidth="1"/>
    <x:col min="2" max="2" width="8.75" hidden="0" customWidth="1"/>
    <x:col min="3" max="3" width="10.630000114440918" hidden="0" customWidth="1"/>
    <x:col min="4" max="4" width="32.5" hidden="0" customWidth="1"/>
    <x:col min="5" max="5" width="13.75" hidden="0" customWidth="1"/>
    <x:col min="6" max="6" width="14.380000114440918" hidden="0" customWidth="1"/>
    <x:col min="7" max="7" width="11.25" hidden="0" customWidth="1"/>
    <x:col min="8" max="8" width="12.5" hidden="0" customWidth="1"/>
    <x:col min="9" max="9" width="12.5" hidden="0" customWidth="1"/>
    <x:col min="10" max="10" width="21.25" hidden="0" customWidth="1"/>
    <x:col min="11" max="11" width="2.25" hidden="0" customWidth="1"/>
    <x:col min="12" max="12" width="61.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3" customHeight="1">
      <x:c r="A2" s="3"/>
      <x:c r="B2" s="4" t="str">
        <x:v>산정근거와 교사 수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3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 ht="25" customHeight="1">
      <x:c r="A4" s="3"/>
      <x:c r="B4" s="5" t="str">
        <x:v>노란 칸의 교사 수를 수정하면 두 안의 평균 시수가 함께 바뀝니다. 0명 또는 빈칸은 평균 미정으로 표시합니다.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9" customHeight="1">
      <x:c r="A6" s="3"/>
      <x:c r="B6" s="11" t="str">
        <x:v>담당 교과</x:v>
      </x:c>
      <x:c r="C6" s="12" t="str">
        <x:v>교사 수</x:v>
      </x:c>
      <x:c r="D6" s="13" t="str">
        <x:v>참고 정원 출처</x:v>
      </x:c>
      <x:c r="E6" s="3"/>
      <x:c r="F6" s="16" t="str">
        <x:v>고정 계산 조건</x:v>
      </x:c>
      <x:c r="G6" s="3"/>
      <x:c r="H6" s="3"/>
      <x:c r="I6" s="3"/>
      <x:c r="J6" s="3"/>
      <x:c r="K6" s="3"/>
      <x:c r="L6" s="3"/>
    </x:row>
    <x:row r="7" ht="25" customHeight="1">
      <x:c r="A7" s="3"/>
      <x:c r="B7" s="3" t="str">
        <x:v>국어</x:v>
      </x:c>
      <x:c r="C7" s="15" t="n">
        <x:v>10</x:v>
      </x:c>
      <x:c r="D7" s="3" t="str">
        <x:v>③ 배정!U9 (2026학년도 정원)</x:v>
      </x:c>
      <x:c r="E7" s="3"/>
      <x:c r="F7" s="3" t="str">
        <x:v>학년도</x:v>
      </x:c>
      <x:c r="G7" s="18" t="n">
        <x:v>2029</x:v>
      </x:c>
      <x:c r="H7" s="3"/>
      <x:c r="I7" s="3"/>
      <x:c r="J7" s="3"/>
      <x:c r="K7" s="3"/>
      <x:c r="L7" s="3"/>
    </x:row>
    <x:row r="8" ht="25" customHeight="1">
      <x:c r="A8" s="3"/>
      <x:c r="B8" s="3" t="str">
        <x:v>수학</x:v>
      </x:c>
      <x:c r="C8" s="15" t="n">
        <x:v>10</x:v>
      </x:c>
      <x:c r="D8" s="3" t="str">
        <x:v>③ 배정!U17 (2026학년도 정원)</x:v>
      </x:c>
      <x:c r="E8" s="3"/>
      <x:c r="F8" s="3" t="str">
        <x:v>학기</x:v>
      </x:c>
      <x:c r="G8" s="17" t="n">
        <x:v>1</x:v>
      </x:c>
      <x:c r="H8" s="3"/>
      <x:c r="I8" s="3"/>
      <x:c r="J8" s="3"/>
      <x:c r="K8" s="3"/>
      <x:c r="L8" s="3"/>
    </x:row>
    <x:row r="9" ht="25" customHeight="1">
      <x:c r="A9" s="3"/>
      <x:c r="B9" s="3" t="str">
        <x:v>영어</x:v>
      </x:c>
      <x:c r="C9" s="15" t="n">
        <x:v>10</x:v>
      </x:c>
      <x:c r="D9" s="3" t="str">
        <x:v>③ 배정!U26 (2026학년도 정원)</x:v>
      </x:c>
      <x:c r="E9" s="3"/>
      <x:c r="F9" s="3" t="str">
        <x:v>학년별 학급 수</x:v>
      </x:c>
      <x:c r="G9" s="17" t="n">
        <x:v>12</x:v>
      </x:c>
      <x:c r="H9" s="5" t="str">
        <x:v>1·2·3학년 각각 12학급</x:v>
      </x:c>
      <x:c r="I9" s="3"/>
      <x:c r="J9" s="3"/>
      <x:c r="K9" s="3"/>
      <x:c r="L9" s="3"/>
    </x:row>
    <x:row r="10" ht="25" customHeight="1">
      <x:c r="A10" s="3"/>
      <x:c r="B10" s="3" t="str">
        <x:v>일반사회</x:v>
      </x:c>
      <x:c r="C10" s="15" t="n">
        <x:v>4</x:v>
      </x:c>
      <x:c r="D10" s="3" t="str">
        <x:v>③ 배정!U40 (2026학년도 정원)</x:v>
      </x:c>
      <x:c r="E10" s="3"/>
      <x:c r="F10" s="3" t="str">
        <x:v>학생당 교과 시수</x:v>
      </x:c>
      <x:c r="G10" s="17" t="n">
        <x:v>29</x:v>
      </x:c>
      <x:c r="H10" s="5" t="str">
        <x:v>주당 시수, 창체 제외</x:v>
      </x:c>
      <x:c r="I10" s="3"/>
      <x:c r="J10" s="3"/>
      <x:c r="K10" s="3"/>
      <x:c r="L10" s="3"/>
    </x:row>
    <x:row r="11" ht="25" customHeight="1">
      <x:c r="A11" s="3"/>
      <x:c r="B11" s="3" t="str">
        <x:v>지리</x:v>
      </x:c>
      <x:c r="C11" s="15" t="n">
        <x:v>2</x:v>
      </x:c>
      <x:c r="D11" s="3" t="str">
        <x:v>③ 배정!U46 (2026학년도 정원)</x:v>
      </x:c>
      <x:c r="E11" s="3"/>
      <x:c r="F11" s="3" t="str">
        <x:v>택1 선택 수</x:v>
      </x:c>
      <x:c r="G11" s="17" t="n">
        <x:v>1</x:v>
      </x:c>
      <x:c r="H11" s="3"/>
      <x:c r="I11" s="3"/>
      <x:c r="J11" s="3"/>
      <x:c r="K11" s="3"/>
      <x:c r="L11" s="3"/>
    </x:row>
    <x:row r="12" ht="25" customHeight="1">
      <x:c r="A12" s="3"/>
      <x:c r="B12" s="3" t="str">
        <x:v>역사</x:v>
      </x:c>
      <x:c r="C12" s="15" t="n">
        <x:v>3</x:v>
      </x:c>
      <x:c r="D12" s="3" t="str">
        <x:v>③ 배정!U35 (2026학년도 정원)</x:v>
      </x:c>
      <x:c r="E12" s="3"/>
      <x:c r="F12" s="3" t="str">
        <x:v>택4 선택 수</x:v>
      </x:c>
      <x:c r="G12" s="17" t="n">
        <x:v>4</x:v>
      </x:c>
      <x:c r="H12" s="3"/>
      <x:c r="I12" s="3"/>
      <x:c r="J12" s="3"/>
      <x:c r="K12" s="3"/>
      <x:c r="L12" s="3"/>
    </x:row>
    <x:row r="13" ht="25" customHeight="1">
      <x:c r="A13" s="3"/>
      <x:c r="B13" s="3" t="str">
        <x:v>윤리</x:v>
      </x:c>
      <x:c r="C13" s="15" t="n">
        <x:v>3</x:v>
      </x:c>
      <x:c r="D13" s="3" t="str">
        <x:v>③ 배정!U51 (2026학년도 정원)</x:v>
      </x:c>
      <x:c r="E13" s="3"/>
      <x:c r="F13" s="3" t="str">
        <x:v>학교 전체 시수</x:v>
      </x:c>
      <x:c r="G13" s="17" t="n">
        <x:f>G9*3*G10</x:f>
        <x:v>1044</x:v>
      </x:c>
      <x:c r="H13" s="3"/>
      <x:c r="I13" s="3"/>
      <x:c r="J13" s="3"/>
      <x:c r="K13" s="3"/>
      <x:c r="L13" s="3"/>
    </x:row>
    <x:row r="14" ht="25" customHeight="1">
      <x:c r="A14" s="3"/>
      <x:c r="B14" s="3" t="str">
        <x:v>물리학</x:v>
      </x:c>
      <x:c r="C14" s="15" t="n">
        <x:v>2</x:v>
      </x:c>
      <x:c r="D14" s="3" t="str">
        <x:v>③ 배정!U62 (2026학년도 정원)</x:v>
      </x:c>
      <x:c r="E14" s="3"/>
      <x:c r="F14" s="3"/>
      <x:c r="G14" s="3"/>
      <x:c r="H14" s="3"/>
      <x:c r="I14" s="3"/>
      <x:c r="J14" s="3"/>
      <x:c r="K14" s="3"/>
      <x:c r="L14" s="3"/>
    </x:row>
    <x:row r="15" ht="25" customHeight="1">
      <x:c r="A15" s="3"/>
      <x:c r="B15" s="3" t="str">
        <x:v>화학</x:v>
      </x:c>
      <x:c r="C15" s="15" t="n">
        <x:v>3</x:v>
      </x:c>
      <x:c r="D15" s="3" t="str">
        <x:v>③ 배정!U65 (2026학년도 정원)</x:v>
      </x:c>
      <x:c r="E15" s="3"/>
      <x:c r="F15" s="5" t="str">
        <x:v>선택인원 미확정: 두 안 모두 기존 선택 비율로 예상한 비교값</x:v>
      </x:c>
      <x:c r="G15" s="3"/>
      <x:c r="H15" s="3"/>
      <x:c r="I15" s="3"/>
      <x:c r="J15" s="3"/>
      <x:c r="K15" s="3"/>
      <x:c r="L15" s="3"/>
    </x:row>
    <x:row r="16" ht="25" customHeight="1">
      <x:c r="A16" s="3"/>
      <x:c r="B16" s="3" t="str">
        <x:v>생명과학</x:v>
      </x:c>
      <x:c r="C16" s="15" t="n">
        <x:v>3</x:v>
      </x:c>
      <x:c r="D16" s="3" t="str">
        <x:v>③ 배정!U68 (2026학년도 정원)</x:v>
      </x:c>
      <x:c r="E16" s="3"/>
      <x:c r="F16" s="5" t="str">
        <x:v>자료 없는 과목: 해당 선택군의 평균 반 수를 기준으로 배분</x:v>
      </x:c>
      <x:c r="G16" s="3"/>
      <x:c r="H16" s="3"/>
      <x:c r="I16" s="3"/>
      <x:c r="J16" s="3"/>
      <x:c r="K16" s="3"/>
      <x:c r="L16" s="3"/>
    </x:row>
    <x:row r="17" ht="25" customHeight="1">
      <x:c r="A17" s="3"/>
      <x:c r="B17" s="3" t="str">
        <x:v>지구과학</x:v>
      </x:c>
      <x:c r="C17" s="15" t="n">
        <x:v>3</x:v>
      </x:c>
      <x:c r="D17" s="3" t="str">
        <x:v>③ 배정!U71 (2026학년도 정원)</x:v>
      </x:c>
      <x:c r="E17" s="3"/>
      <x:c r="F17" s="5" t="str">
        <x:v>경제 0반은 선이수 영향 보정. 계산은 경제 수요 보정 시트 참조</x:v>
      </x:c>
      <x:c r="G17" s="3"/>
      <x:c r="H17" s="3"/>
      <x:c r="I17" s="3"/>
      <x:c r="J17" s="3"/>
      <x:c r="K17" s="3"/>
      <x:c r="L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3"/>
      <x:c r="B20" s="5" t="str">
        <x:v>① 2027학년도 입학생 학교교육과정(안).hwpx — 2027 입학생 편제표, 2028·2029 입학생에도 적용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3"/>
      <x:c r="B21" s="5" t="str">
        <x:v>② 과목별 선택인원(2026.9.28.).xlsx — 최종 선택인원 W열·반 수 X열을 참고한 추정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3"/>
      <x:c r="B22" s="5" t="str">
        <x:v>③ 2027학년도 주당수업시간 배당표(9. 28.).xlsx — 배정 시트 U열의 2026학년도 교과교사 정원</x:v>
      </x:c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9" customHeight="1">
      <x:c r="A24" s="3"/>
      <x:c r="B24" s="11" t="str">
        <x:v>학년</x:v>
      </x:c>
      <x:c r="C24" s="12" t="str">
        <x:v>선택군</x:v>
      </x:c>
      <x:c r="D24" s="12" t="str">
        <x:v>과목명</x:v>
      </x:c>
      <x:c r="E24" s="12" t="str">
        <x:v>담당 교과</x:v>
      </x:c>
      <x:c r="F24" s="12" t="str">
        <x:v>과목 유형</x:v>
      </x:c>
      <x:c r="G24" s="12" t="str">
        <x:v>반당 시수</x:v>
      </x:c>
      <x:c r="H24" s="12" t="str">
        <x:v>기존 반 수</x:v>
      </x:c>
      <x:c r="I24" s="12" t="str">
        <x:v>기존 시수</x:v>
      </x:c>
      <x:c r="J24" s="13" t="str">
        <x:v>반 수 산정</x:v>
      </x:c>
      <x:c r="K24" s="3"/>
      <x:c r="L24" s="16" t="str">
        <x:v>입력 원자료</x:v>
      </x:c>
    </x:row>
    <x:row r="25" ht="25" customHeight="1">
      <x:c r="A25" s="3"/>
      <x:c r="B25" s="3" t="n">
        <x:v>1</x:v>
      </x:c>
      <x:c r="C25" s="3" t="str">
        <x:v>학교 지정</x:v>
      </x:c>
      <x:c r="D25" s="3" t="str">
        <x:v>공통국어1</x:v>
      </x:c>
      <x:c r="E25" s="3" t="str">
        <x:v>국어</x:v>
      </x:c>
      <x:c r="F25" s="3" t="str">
        <x:v>공통</x:v>
      </x:c>
      <x:c r="G25" s="48" t="n">
        <x:v>3</x:v>
      </x:c>
      <x:c r="H25" s="48" t="n">
        <x:v>12</x:v>
      </x:c>
      <x:c r="I25" s="48" t="n">
        <x:f>G25*H25</x:f>
        <x:v>36</x:v>
      </x:c>
      <x:c r="J25" s="3" t="str">
        <x:v>학급 수 적용</x:v>
      </x:c>
      <x:c r="K25" s="3"/>
      <x:c r="L25" s="3" t="str">
        <x:v>① 편제표 3행 / 학급 수 조건</x:v>
      </x:c>
    </x:row>
    <x:row r="26" ht="25" customHeight="1">
      <x:c r="A26" s="3"/>
      <x:c r="B26" s="3" t="n">
        <x:v>1</x:v>
      </x:c>
      <x:c r="C26" s="3" t="str">
        <x:v>학교 지정</x:v>
      </x:c>
      <x:c r="D26" s="3" t="str">
        <x:v>공통수학1</x:v>
      </x:c>
      <x:c r="E26" s="3" t="str">
        <x:v>수학</x:v>
      </x:c>
      <x:c r="F26" s="3" t="str">
        <x:v>공통</x:v>
      </x:c>
      <x:c r="G26" s="48" t="n">
        <x:v>3</x:v>
      </x:c>
      <x:c r="H26" s="48" t="n">
        <x:v>12</x:v>
      </x:c>
      <x:c r="I26" s="48" t="n">
        <x:f>G26*H26</x:f>
        <x:v>36</x:v>
      </x:c>
      <x:c r="J26" s="3" t="str">
        <x:v>학급 수 적용</x:v>
      </x:c>
      <x:c r="K26" s="3"/>
      <x:c r="L26" s="3" t="str">
        <x:v>① 편제표 6행 / 학급 수 조건</x:v>
      </x:c>
    </x:row>
    <x:row r="27" ht="25" customHeight="1">
      <x:c r="A27" s="3"/>
      <x:c r="B27" s="3" t="n">
        <x:v>1</x:v>
      </x:c>
      <x:c r="C27" s="3" t="str">
        <x:v>학교 지정</x:v>
      </x:c>
      <x:c r="D27" s="3" t="str">
        <x:v>공통영어1</x:v>
      </x:c>
      <x:c r="E27" s="3" t="str">
        <x:v>영어</x:v>
      </x:c>
      <x:c r="F27" s="3" t="str">
        <x:v>공통</x:v>
      </x:c>
      <x:c r="G27" s="48" t="n">
        <x:v>3</x:v>
      </x:c>
      <x:c r="H27" s="48" t="n">
        <x:v>12</x:v>
      </x:c>
      <x:c r="I27" s="48" t="n">
        <x:f>G27*H27</x:f>
        <x:v>36</x:v>
      </x:c>
      <x:c r="J27" s="3" t="str">
        <x:v>학급 수 적용</x:v>
      </x:c>
      <x:c r="K27" s="3"/>
      <x:c r="L27" s="3" t="str">
        <x:v>① 편제표 9행 / 학급 수 조건</x:v>
      </x:c>
    </x:row>
    <x:row r="28" ht="25" customHeight="1">
      <x:c r="A28" s="3"/>
      <x:c r="B28" s="3" t="n">
        <x:v>1</x:v>
      </x:c>
      <x:c r="C28" s="3" t="str">
        <x:v>학교 지정</x:v>
      </x:c>
      <x:c r="D28" s="3" t="str">
        <x:v>한국사1</x:v>
      </x:c>
      <x:c r="E28" s="3" t="str">
        <x:v>역사</x:v>
      </x:c>
      <x:c r="F28" s="3" t="str">
        <x:v>공통</x:v>
      </x:c>
      <x:c r="G28" s="48" t="n">
        <x:v>3</x:v>
      </x:c>
      <x:c r="H28" s="48" t="n">
        <x:v>12</x:v>
      </x:c>
      <x:c r="I28" s="48" t="n">
        <x:f>G28*H28</x:f>
        <x:v>36</x:v>
      </x:c>
      <x:c r="J28" s="3" t="str">
        <x:v>학급 수 적용</x:v>
      </x:c>
      <x:c r="K28" s="3"/>
      <x:c r="L28" s="3" t="str">
        <x:v>① 편제표 12행 / 학급 수 조건</x:v>
      </x:c>
    </x:row>
    <x:row r="29" ht="25" customHeight="1">
      <x:c r="A29" s="3"/>
      <x:c r="B29" s="3" t="n">
        <x:v>1</x:v>
      </x:c>
      <x:c r="C29" s="3" t="str">
        <x:v>학교 지정</x:v>
      </x:c>
      <x:c r="D29" s="3" t="str">
        <x:v>통합사회1</x:v>
      </x:c>
      <x:c r="E29" s="3" t="str">
        <x:v>사회 공통</x:v>
      </x:c>
      <x:c r="F29" s="3" t="str">
        <x:v>공통</x:v>
      </x:c>
      <x:c r="G29" s="48" t="n">
        <x:v>4</x:v>
      </x:c>
      <x:c r="H29" s="48" t="n">
        <x:v>12</x:v>
      </x:c>
      <x:c r="I29" s="48" t="n">
        <x:f>G29*H29</x:f>
        <x:v>48</x:v>
      </x:c>
      <x:c r="J29" s="3" t="str">
        <x:v>학급 수 적용</x:v>
      </x:c>
      <x:c r="K29" s="3"/>
      <x:c r="L29" s="3" t="str">
        <x:v>① 편제표 13행 / 학급 수 조건</x:v>
      </x:c>
    </x:row>
    <x:row r="30" ht="25" customHeight="1">
      <x:c r="A30" s="3"/>
      <x:c r="B30" s="3" t="n">
        <x:v>1</x:v>
      </x:c>
      <x:c r="C30" s="3" t="str">
        <x:v>학교 지정</x:v>
      </x:c>
      <x:c r="D30" s="3" t="str">
        <x:v>통합과학1</x:v>
      </x:c>
      <x:c r="E30" s="3" t="str">
        <x:v>과학 공통·융합</x:v>
      </x:c>
      <x:c r="F30" s="3" t="str">
        <x:v>공통</x:v>
      </x:c>
      <x:c r="G30" s="48" t="n">
        <x:v>4</x:v>
      </x:c>
      <x:c r="H30" s="48" t="n">
        <x:v>12</x:v>
      </x:c>
      <x:c r="I30" s="48" t="n">
        <x:f>G30*H30</x:f>
        <x:v>48</x:v>
      </x:c>
      <x:c r="J30" s="3" t="str">
        <x:v>학급 수 적용</x:v>
      </x:c>
      <x:c r="K30" s="3"/>
      <x:c r="L30" s="3" t="str">
        <x:v>① 편제표 14행 / 학급 수 조건</x:v>
      </x:c>
    </x:row>
    <x:row r="31" ht="25" customHeight="1">
      <x:c r="A31" s="3"/>
      <x:c r="B31" s="3" t="n">
        <x:v>1</x:v>
      </x:c>
      <x:c r="C31" s="3" t="str">
        <x:v>학교 지정</x:v>
      </x:c>
      <x:c r="D31" s="3" t="str">
        <x:v>과학탐구실험1</x:v>
      </x:c>
      <x:c r="E31" s="3" t="str">
        <x:v>과학 공통·융합</x:v>
      </x:c>
      <x:c r="F31" s="3" t="str">
        <x:v>공통</x:v>
      </x:c>
      <x:c r="G31" s="48" t="n">
        <x:v>1</x:v>
      </x:c>
      <x:c r="H31" s="48" t="n">
        <x:v>12</x:v>
      </x:c>
      <x:c r="I31" s="48" t="n">
        <x:f>G31*H31</x:f>
        <x:v>12</x:v>
      </x:c>
      <x:c r="J31" s="3" t="str">
        <x:v>학급 수 적용</x:v>
      </x:c>
      <x:c r="K31" s="3"/>
      <x:c r="L31" s="3" t="str">
        <x:v>① 편제표 15행 / 학급 수 조건</x:v>
      </x:c>
    </x:row>
    <x:row r="32" ht="25" customHeight="1">
      <x:c r="A32" s="3"/>
      <x:c r="B32" s="3" t="n">
        <x:v>1</x:v>
      </x:c>
      <x:c r="C32" s="3" t="str">
        <x:v>학교 지정</x:v>
      </x:c>
      <x:c r="D32" s="3" t="str">
        <x:v>체육1</x:v>
      </x:c>
      <x:c r="E32" s="3" t="str">
        <x:v>체육</x:v>
      </x:c>
      <x:c r="F32" s="3" t="str">
        <x:v>일반</x:v>
      </x:c>
      <x:c r="G32" s="48" t="n">
        <x:v>2</x:v>
      </x:c>
      <x:c r="H32" s="48" t="n">
        <x:v>12</x:v>
      </x:c>
      <x:c r="I32" s="48" t="n">
        <x:f>G32*H32</x:f>
        <x:v>24</x:v>
      </x:c>
      <x:c r="J32" s="3" t="str">
        <x:v>학급 수 적용</x:v>
      </x:c>
      <x:c r="K32" s="3"/>
      <x:c r="L32" s="3" t="str">
        <x:v>① 편제표 16행 / 학급 수 조건</x:v>
      </x:c>
    </x:row>
    <x:row r="33" ht="25" customHeight="1">
      <x:c r="A33" s="3"/>
      <x:c r="B33" s="3" t="n">
        <x:v>1</x:v>
      </x:c>
      <x:c r="C33" s="3" t="str">
        <x:v>학교 지정</x:v>
      </x:c>
      <x:c r="D33" s="3" t="str">
        <x:v>음악</x:v>
      </x:c>
      <x:c r="E33" s="3" t="str">
        <x:v>음악</x:v>
      </x:c>
      <x:c r="F33" s="3" t="str">
        <x:v>일반</x:v>
      </x:c>
      <x:c r="G33" s="48" t="n">
        <x:v>3</x:v>
      </x:c>
      <x:c r="H33" s="48" t="n">
        <x:v>6</x:v>
      </x:c>
      <x:c r="I33" s="48" t="n">
        <x:f>G33*H33</x:f>
        <x:v>18</x:v>
      </x:c>
      <x:c r="J33" s="3" t="str">
        <x:v>학기 교차</x:v>
      </x:c>
      <x:c r="K33" s="3"/>
      <x:c r="L33" s="3" t="str">
        <x:v>① 편제표 19행 / 학급 수 조건</x:v>
      </x:c>
    </x:row>
    <x:row r="34" ht="25" customHeight="1">
      <x:c r="A34" s="3"/>
      <x:c r="B34" s="3" t="n">
        <x:v>1</x:v>
      </x:c>
      <x:c r="C34" s="3" t="str">
        <x:v>학교 지정</x:v>
      </x:c>
      <x:c r="D34" s="3" t="str">
        <x:v>미술</x:v>
      </x:c>
      <x:c r="E34" s="3" t="str">
        <x:v>미술</x:v>
      </x:c>
      <x:c r="F34" s="3" t="str">
        <x:v>일반</x:v>
      </x:c>
      <x:c r="G34" s="48" t="n">
        <x:v>3</x:v>
      </x:c>
      <x:c r="H34" s="48" t="n">
        <x:v>6</x:v>
      </x:c>
      <x:c r="I34" s="48" t="n">
        <x:f>G34*H34</x:f>
        <x:v>18</x:v>
      </x:c>
      <x:c r="J34" s="3" t="str">
        <x:v>학기 교차</x:v>
      </x:c>
      <x:c r="K34" s="3"/>
      <x:c r="L34" s="3" t="str">
        <x:v>① 편제표 19행 / 학급 수 조건</x:v>
      </x:c>
    </x:row>
    <x:row r="35" ht="25" customHeight="1">
      <x:c r="A35" s="3"/>
      <x:c r="B35" s="3" t="n">
        <x:v>1</x:v>
      </x:c>
      <x:c r="C35" s="3" t="str">
        <x:v>학교 지정</x:v>
      </x:c>
      <x:c r="D35" s="3" t="str">
        <x:v>정보</x:v>
      </x:c>
      <x:c r="E35" s="3" t="str">
        <x:v>정보</x:v>
      </x:c>
      <x:c r="F35" s="3" t="str">
        <x:v>일반</x:v>
      </x:c>
      <x:c r="G35" s="48" t="n">
        <x:v>3</x:v>
      </x:c>
      <x:c r="H35" s="48" t="n">
        <x:v>6</x:v>
      </x:c>
      <x:c r="I35" s="48" t="n">
        <x:f>G35*H35</x:f>
        <x:v>18</x:v>
      </x:c>
      <x:c r="J35" s="3" t="str">
        <x:v>학기 교차</x:v>
      </x:c>
      <x:c r="K35" s="3"/>
      <x:c r="L35" s="3" t="str">
        <x:v>① 편제표 21행 / 학급 수 조건</x:v>
      </x:c>
    </x:row>
    <x:row r="36" ht="25" customHeight="1">
      <x:c r="A36" s="3"/>
      <x:c r="B36" s="3" t="n">
        <x:v>1</x:v>
      </x:c>
      <x:c r="C36" s="3" t="str">
        <x:v>학교 지정</x:v>
      </x:c>
      <x:c r="D36" s="3" t="str">
        <x:v>한문</x:v>
      </x:c>
      <x:c r="E36" s="3" t="str">
        <x:v>한문</x:v>
      </x:c>
      <x:c r="F36" s="3" t="str">
        <x:v>일반</x:v>
      </x:c>
      <x:c r="G36" s="48" t="n">
        <x:v>3</x:v>
      </x:c>
      <x:c r="H36" s="48" t="n">
        <x:v>6</x:v>
      </x:c>
      <x:c r="I36" s="48" t="n">
        <x:f>G36*H36</x:f>
        <x:v>18</x:v>
      </x:c>
      <x:c r="J36" s="3" t="str">
        <x:v>학기 교차</x:v>
      </x:c>
      <x:c r="K36" s="3"/>
      <x:c r="L36" s="3" t="str">
        <x:v>① 편제표 22행 / 학급 수 조건</x:v>
      </x:c>
    </x:row>
    <x:row r="37" ht="25" customHeight="1">
      <x:c r="A37" s="3"/>
      <x:c r="B37" s="3" t="n">
        <x:v>2</x:v>
      </x:c>
      <x:c r="C37" s="3" t="str">
        <x:v>학교 지정</x:v>
      </x:c>
      <x:c r="D37" s="3" t="str">
        <x:v>문학</x:v>
      </x:c>
      <x:c r="E37" s="3" t="str">
        <x:v>국어</x:v>
      </x:c>
      <x:c r="F37" s="3" t="str">
        <x:v>일반</x:v>
      </x:c>
      <x:c r="G37" s="48" t="n">
        <x:v>4</x:v>
      </x:c>
      <x:c r="H37" s="48" t="n">
        <x:v>12</x:v>
      </x:c>
      <x:c r="I37" s="48" t="n">
        <x:f>G37*H37</x:f>
        <x:v>48</x:v>
      </x:c>
      <x:c r="J37" s="3" t="str">
        <x:v>학급 수 적용</x:v>
      </x:c>
      <x:c r="K37" s="3"/>
      <x:c r="L37" s="3" t="str">
        <x:v>① 편제표 4행 / 학급 수 조건</x:v>
      </x:c>
    </x:row>
    <x:row r="38" ht="25" customHeight="1">
      <x:c r="A38" s="3"/>
      <x:c r="B38" s="3" t="n">
        <x:v>2</x:v>
      </x:c>
      <x:c r="C38" s="3" t="str">
        <x:v>학교 지정</x:v>
      </x:c>
      <x:c r="D38" s="3" t="str">
        <x:v>대수</x:v>
      </x:c>
      <x:c r="E38" s="3" t="str">
        <x:v>수학</x:v>
      </x:c>
      <x:c r="F38" s="3" t="str">
        <x:v>일반</x:v>
      </x:c>
      <x:c r="G38" s="48" t="n">
        <x:v>4</x:v>
      </x:c>
      <x:c r="H38" s="48" t="n">
        <x:v>12</x:v>
      </x:c>
      <x:c r="I38" s="48" t="n">
        <x:f>G38*H38</x:f>
        <x:v>48</x:v>
      </x:c>
      <x:c r="J38" s="3" t="str">
        <x:v>학급 수 적용</x:v>
      </x:c>
      <x:c r="K38" s="3"/>
      <x:c r="L38" s="3" t="str">
        <x:v>① 편제표 7행 / 학급 수 조건</x:v>
      </x:c>
    </x:row>
    <x:row r="39" ht="25" customHeight="1">
      <x:c r="A39" s="3"/>
      <x:c r="B39" s="3" t="n">
        <x:v>2</x:v>
      </x:c>
      <x:c r="C39" s="3" t="str">
        <x:v>학교 지정</x:v>
      </x:c>
      <x:c r="D39" s="3" t="str">
        <x:v>확률과 통계</x:v>
      </x:c>
      <x:c r="E39" s="3" t="str">
        <x:v>수학</x:v>
      </x:c>
      <x:c r="F39" s="3" t="str">
        <x:v>일반</x:v>
      </x:c>
      <x:c r="G39" s="48" t="n">
        <x:v>3</x:v>
      </x:c>
      <x:c r="H39" s="48" t="n">
        <x:v>12</x:v>
      </x:c>
      <x:c r="I39" s="48" t="n">
        <x:f>G39*H39</x:f>
        <x:v>36</x:v>
      </x:c>
      <x:c r="J39" s="3" t="str">
        <x:v>학급 수 적용</x:v>
      </x:c>
      <x:c r="K39" s="3"/>
      <x:c r="L39" s="3" t="str">
        <x:v>① 편제표 8행 / 학급 수 조건</x:v>
      </x:c>
    </x:row>
    <x:row r="40" ht="25" customHeight="1">
      <x:c r="A40" s="3"/>
      <x:c r="B40" s="3" t="n">
        <x:v>2</x:v>
      </x:c>
      <x:c r="C40" s="3" t="str">
        <x:v>학교 지정</x:v>
      </x:c>
      <x:c r="D40" s="3" t="str">
        <x:v>영어Ⅰ</x:v>
      </x:c>
      <x:c r="E40" s="3" t="str">
        <x:v>영어</x:v>
      </x:c>
      <x:c r="F40" s="3" t="str">
        <x:v>일반</x:v>
      </x:c>
      <x:c r="G40" s="48" t="n">
        <x:v>4</x:v>
      </x:c>
      <x:c r="H40" s="48" t="n">
        <x:v>12</x:v>
      </x:c>
      <x:c r="I40" s="48" t="n">
        <x:f>G40*H40</x:f>
        <x:v>48</x:v>
      </x:c>
      <x:c r="J40" s="3" t="str">
        <x:v>학급 수 적용</x:v>
      </x:c>
      <x:c r="K40" s="3"/>
      <x:c r="L40" s="3" t="str">
        <x:v>① 편제표 10행 / 학급 수 조건</x:v>
      </x:c>
    </x:row>
    <x:row r="41" ht="25" customHeight="1">
      <x:c r="A41" s="3"/>
      <x:c r="B41" s="3" t="n">
        <x:v>2</x:v>
      </x:c>
      <x:c r="C41" s="3" t="str">
        <x:v>학교 지정</x:v>
      </x:c>
      <x:c r="D41" s="3" t="str">
        <x:v>스포츠 생활1</x:v>
      </x:c>
      <x:c r="E41" s="3" t="str">
        <x:v>체육</x:v>
      </x:c>
      <x:c r="F41" s="3" t="str">
        <x:v>융합</x:v>
      </x:c>
      <x:c r="G41" s="48" t="n">
        <x:v>2</x:v>
      </x:c>
      <x:c r="H41" s="48" t="n">
        <x:v>12</x:v>
      </x:c>
      <x:c r="I41" s="48" t="n">
        <x:f>G41*H41</x:f>
        <x:v>24</x:v>
      </x:c>
      <x:c r="J41" s="3" t="str">
        <x:v>학급 수 적용</x:v>
      </x:c>
      <x:c r="K41" s="3"/>
      <x:c r="L41" s="3" t="str">
        <x:v>① 편제표 17행 / 학급 수 조건</x:v>
      </x:c>
    </x:row>
    <x:row r="42" ht="25" customHeight="1">
      <x:c r="A42" s="3"/>
      <x:c r="B42" s="3" t="n">
        <x:v>2</x:v>
      </x:c>
      <x:c r="C42" s="3" t="str">
        <x:v>택3 (B)</x:v>
      </x:c>
      <x:c r="D42" s="3" t="str">
        <x:v>세계시민과 지리</x:v>
      </x:c>
      <x:c r="E42" s="3" t="str">
        <x:v>지리</x:v>
      </x:c>
      <x:c r="F42" s="3" t="str">
        <x:v>일반</x:v>
      </x:c>
      <x:c r="G42" s="48" t="n">
        <x:v>3</x:v>
      </x:c>
      <x:c r="H42" s="48" t="n">
        <x:v>3</x:v>
      </x:c>
      <x:c r="I42" s="48" t="n">
        <x:f>G42*H42</x:f>
        <x:v>9</x:v>
      </x:c>
      <x:c r="J42" s="3" t="str">
        <x:v>기존 비율·총반수 조정</x:v>
      </x:c>
      <x:c r="K42" s="3"/>
      <x:c r="L42" s="3" t="str">
        <x:v>① 편제표 24행 / ② 1학년=&gt;2학년!X7</x:v>
      </x:c>
    </x:row>
    <x:row r="43" ht="25" customHeight="1">
      <x:c r="A43" s="3"/>
      <x:c r="B43" s="3" t="n">
        <x:v>2</x:v>
      </x:c>
      <x:c r="C43" s="3" t="str">
        <x:v>택3 (B)</x:v>
      </x:c>
      <x:c r="D43" s="3" t="str">
        <x:v>세계사</x:v>
      </x:c>
      <x:c r="E43" s="3" t="str">
        <x:v>역사</x:v>
      </x:c>
      <x:c r="F43" s="3" t="str">
        <x:v>일반</x:v>
      </x:c>
      <x:c r="G43" s="48" t="n">
        <x:v>3</x:v>
      </x:c>
      <x:c r="H43" s="48" t="n">
        <x:v>3</x:v>
      </x:c>
      <x:c r="I43" s="48" t="n">
        <x:f>G43*H43</x:f>
        <x:v>9</x:v>
      </x:c>
      <x:c r="J43" s="3" t="str">
        <x:v>기존 비율·총반수 조정</x:v>
      </x:c>
      <x:c r="K43" s="3"/>
      <x:c r="L43" s="3" t="str">
        <x:v>① 편제표 24행 / ② 1학년=&gt;2학년!X8</x:v>
      </x:c>
    </x:row>
    <x:row r="44" ht="25" customHeight="1">
      <x:c r="A44" s="3"/>
      <x:c r="B44" s="3" t="n">
        <x:v>2</x:v>
      </x:c>
      <x:c r="C44" s="3" t="str">
        <x:v>택3 (B)</x:v>
      </x:c>
      <x:c r="D44" s="3" t="str">
        <x:v>사회와 문화</x:v>
      </x:c>
      <x:c r="E44" s="3" t="str">
        <x:v>일반사회</x:v>
      </x:c>
      <x:c r="F44" s="3" t="str">
        <x:v>일반</x:v>
      </x:c>
      <x:c r="G44" s="48" t="n">
        <x:v>3</x:v>
      </x:c>
      <x:c r="H44" s="48" t="n">
        <x:v>6</x:v>
      </x:c>
      <x:c r="I44" s="48" t="n">
        <x:f>G44*H44</x:f>
        <x:v>18</x:v>
      </x:c>
      <x:c r="J44" s="3" t="str">
        <x:v>기존 비율·총반수 조정</x:v>
      </x:c>
      <x:c r="K44" s="3"/>
      <x:c r="L44" s="3" t="str">
        <x:v>① 편제표 24행 / ② 1학년=&gt;2학년!X9</x:v>
      </x:c>
    </x:row>
    <x:row r="45" ht="25" customHeight="1">
      <x:c r="A45" s="3"/>
      <x:c r="B45" s="3" t="n">
        <x:v>2</x:v>
      </x:c>
      <x:c r="C45" s="3" t="str">
        <x:v>택3 (B)</x:v>
      </x:c>
      <x:c r="D45" s="3" t="str">
        <x:v>현대사회와 윤리</x:v>
      </x:c>
      <x:c r="E45" s="3" t="str">
        <x:v>윤리</x:v>
      </x:c>
      <x:c r="F45" s="3" t="str">
        <x:v>일반</x:v>
      </x:c>
      <x:c r="G45" s="48" t="n">
        <x:v>3</x:v>
      </x:c>
      <x:c r="H45" s="48" t="n">
        <x:v>6</x:v>
      </x:c>
      <x:c r="I45" s="48" t="n">
        <x:f>G45*H45</x:f>
        <x:v>18</x:v>
      </x:c>
      <x:c r="J45" s="3" t="str">
        <x:v>기존 비율·총반수 조정</x:v>
      </x:c>
      <x:c r="K45" s="3"/>
      <x:c r="L45" s="3" t="str">
        <x:v>① 편제표 24행 / ② 1학년=&gt;2학년!X10</x:v>
      </x:c>
    </x:row>
    <x:row r="46" ht="25" customHeight="1">
      <x:c r="A46" s="3"/>
      <x:c r="B46" s="3" t="n">
        <x:v>2</x:v>
      </x:c>
      <x:c r="C46" s="3" t="str">
        <x:v>택3 (B)</x:v>
      </x:c>
      <x:c r="D46" s="3" t="str">
        <x:v>물리학</x:v>
      </x:c>
      <x:c r="E46" s="3" t="str">
        <x:v>물리학</x:v>
      </x:c>
      <x:c r="F46" s="3" t="str">
        <x:v>일반</x:v>
      </x:c>
      <x:c r="G46" s="48" t="n">
        <x:v>3</x:v>
      </x:c>
      <x:c r="H46" s="48" t="n">
        <x:v>4</x:v>
      </x:c>
      <x:c r="I46" s="48" t="n">
        <x:f>G46*H46</x:f>
        <x:v>12</x:v>
      </x:c>
      <x:c r="J46" s="3" t="str">
        <x:v>기존 비율·총반수 조정</x:v>
      </x:c>
      <x:c r="K46" s="3"/>
      <x:c r="L46" s="3" t="str">
        <x:v>① 편제표 25행 / ② 1학년=&gt;2학년!X11</x:v>
      </x:c>
    </x:row>
    <x:row r="47" ht="25" customHeight="1">
      <x:c r="A47" s="3"/>
      <x:c r="B47" s="3" t="n">
        <x:v>2</x:v>
      </x:c>
      <x:c r="C47" s="3" t="str">
        <x:v>택3 (B)</x:v>
      </x:c>
      <x:c r="D47" s="3" t="str">
        <x:v>화학</x:v>
      </x:c>
      <x:c r="E47" s="3" t="str">
        <x:v>화학</x:v>
      </x:c>
      <x:c r="F47" s="3" t="str">
        <x:v>일반</x:v>
      </x:c>
      <x:c r="G47" s="48" t="n">
        <x:v>3</x:v>
      </x:c>
      <x:c r="H47" s="48" t="n">
        <x:v>5</x:v>
      </x:c>
      <x:c r="I47" s="48" t="n">
        <x:f>G47*H47</x:f>
        <x:v>15</x:v>
      </x:c>
      <x:c r="J47" s="3" t="str">
        <x:v>기존 비율·총반수 조정</x:v>
      </x:c>
      <x:c r="K47" s="3"/>
      <x:c r="L47" s="3" t="str">
        <x:v>① 편제표 25행 / ② 1학년=&gt;2학년!X12</x:v>
      </x:c>
    </x:row>
    <x:row r="48" ht="25" customHeight="1">
      <x:c r="A48" s="3"/>
      <x:c r="B48" s="3" t="n">
        <x:v>2</x:v>
      </x:c>
      <x:c r="C48" s="3" t="str">
        <x:v>택3 (B)</x:v>
      </x:c>
      <x:c r="D48" s="3" t="str">
        <x:v>생명과학</x:v>
      </x:c>
      <x:c r="E48" s="3" t="str">
        <x:v>생명과학</x:v>
      </x:c>
      <x:c r="F48" s="3" t="str">
        <x:v>일반</x:v>
      </x:c>
      <x:c r="G48" s="48" t="n">
        <x:v>3</x:v>
      </x:c>
      <x:c r="H48" s="48" t="n">
        <x:v>5</x:v>
      </x:c>
      <x:c r="I48" s="48" t="n">
        <x:f>G48*H48</x:f>
        <x:v>15</x:v>
      </x:c>
      <x:c r="J48" s="3" t="str">
        <x:v>기존 비율·총반수 조정</x:v>
      </x:c>
      <x:c r="K48" s="3"/>
      <x:c r="L48" s="3" t="str">
        <x:v>① 편제표 25행 / ② 1학년=&gt;2학년!X25</x:v>
      </x:c>
    </x:row>
    <x:row r="49" ht="25" customHeight="1">
      <x:c r="A49" s="3"/>
      <x:c r="B49" s="3" t="n">
        <x:v>2</x:v>
      </x:c>
      <x:c r="C49" s="3" t="str">
        <x:v>택3 (B)</x:v>
      </x:c>
      <x:c r="D49" s="3" t="str">
        <x:v>지구과학</x:v>
      </x:c>
      <x:c r="E49" s="3" t="str">
        <x:v>지구과학</x:v>
      </x:c>
      <x:c r="F49" s="3" t="str">
        <x:v>일반</x:v>
      </x:c>
      <x:c r="G49" s="48" t="n">
        <x:v>3</x:v>
      </x:c>
      <x:c r="H49" s="48" t="n">
        <x:v>4</x:v>
      </x:c>
      <x:c r="I49" s="48" t="n">
        <x:f>G49*H49</x:f>
        <x:v>12</x:v>
      </x:c>
      <x:c r="J49" s="3" t="str">
        <x:v>기존 비율·총반수 조정</x:v>
      </x:c>
      <x:c r="K49" s="3"/>
      <x:c r="L49" s="3" t="str">
        <x:v>① 편제표 25행 / ② 1학년=&gt;2학년!X13</x:v>
      </x:c>
    </x:row>
    <x:row r="50" ht="25" customHeight="1">
      <x:c r="A50" s="3"/>
      <x:c r="B50" s="3" t="n">
        <x:v>2</x:v>
      </x:c>
      <x:c r="C50" s="3" t="str">
        <x:v>택1 (C)</x:v>
      </x:c>
      <x:c r="D50" s="3" t="str">
        <x:v>일본어</x:v>
      </x:c>
      <x:c r="E50" s="3" t="str">
        <x:v>일본어</x:v>
      </x:c>
      <x:c r="F50" s="3" t="str">
        <x:v>일반</x:v>
      </x:c>
      <x:c r="G50" s="48" t="n">
        <x:v>3</x:v>
      </x:c>
      <x:c r="H50" s="48" t="n">
        <x:v>10</x:v>
      </x:c>
      <x:c r="I50" s="48" t="n">
        <x:f>G50*H50</x:f>
        <x:v>30</x:v>
      </x:c>
      <x:c r="J50" s="3" t="str">
        <x:v>기존 비율·총반수 조정</x:v>
      </x:c>
      <x:c r="K50" s="3"/>
      <x:c r="L50" s="3" t="str">
        <x:v>① 편제표 26행 / ② 1학년=&gt;2학년!X14</x:v>
      </x:c>
    </x:row>
    <x:row r="51" ht="25" customHeight="1">
      <x:c r="A51" s="3"/>
      <x:c r="B51" s="3" t="n">
        <x:v>2</x:v>
      </x:c>
      <x:c r="C51" s="3" t="str">
        <x:v>택1 (C)</x:v>
      </x:c>
      <x:c r="D51" s="3" t="str">
        <x:v>중국어</x:v>
      </x:c>
      <x:c r="E51" s="3" t="str">
        <x:v>중국어</x:v>
      </x:c>
      <x:c r="F51" s="3" t="str">
        <x:v>일반</x:v>
      </x:c>
      <x:c r="G51" s="48" t="n">
        <x:v>3</x:v>
      </x:c>
      <x:c r="H51" s="48" t="n">
        <x:v>2</x:v>
      </x:c>
      <x:c r="I51" s="48" t="n">
        <x:f>G51*H51</x:f>
        <x:v>6</x:v>
      </x:c>
      <x:c r="J51" s="3" t="str">
        <x:v>기존 비율·총반수 조정</x:v>
      </x:c>
      <x:c r="K51" s="3"/>
      <x:c r="L51" s="3" t="str">
        <x:v>① 편제표 26행 / ② 1학년=&gt;2학년!X15</x:v>
      </x:c>
    </x:row>
    <x:row r="52" ht="25" customHeight="1">
      <x:c r="A52" s="3"/>
      <x:c r="B52" s="3" t="n">
        <x:v>3</x:v>
      </x:c>
      <x:c r="C52" s="3" t="str">
        <x:v>학교 지정</x:v>
      </x:c>
      <x:c r="D52" s="3" t="str">
        <x:v>독서와 작문</x:v>
      </x:c>
      <x:c r="E52" s="3" t="str">
        <x:v>국어</x:v>
      </x:c>
      <x:c r="F52" s="3" t="str">
        <x:v>일반</x:v>
      </x:c>
      <x:c r="G52" s="48" t="n">
        <x:v>4</x:v>
      </x:c>
      <x:c r="H52" s="48" t="n">
        <x:v>12</x:v>
      </x:c>
      <x:c r="I52" s="48" t="n">
        <x:f>G52*H52</x:f>
        <x:v>48</x:v>
      </x:c>
      <x:c r="J52" s="3" t="str">
        <x:v>학급 수 적용</x:v>
      </x:c>
      <x:c r="K52" s="3"/>
      <x:c r="L52" s="3" t="str">
        <x:v>① 편제표 5행 / 학급 수 조건</x:v>
      </x:c>
    </x:row>
    <x:row r="53" ht="25" customHeight="1">
      <x:c r="A53" s="3"/>
      <x:c r="B53" s="3" t="n">
        <x:v>3</x:v>
      </x:c>
      <x:c r="C53" s="3" t="str">
        <x:v>학교 지정</x:v>
      </x:c>
      <x:c r="D53" s="3" t="str">
        <x:v>영어 독해와 작문</x:v>
      </x:c>
      <x:c r="E53" s="3" t="str">
        <x:v>영어</x:v>
      </x:c>
      <x:c r="F53" s="3" t="str">
        <x:v>일반</x:v>
      </x:c>
      <x:c r="G53" s="48" t="n">
        <x:v>4</x:v>
      </x:c>
      <x:c r="H53" s="48" t="n">
        <x:v>12</x:v>
      </x:c>
      <x:c r="I53" s="48" t="n">
        <x:f>G53*H53</x:f>
        <x:v>48</x:v>
      </x:c>
      <x:c r="J53" s="3" t="str">
        <x:v>학급 수 적용</x:v>
      </x:c>
      <x:c r="K53" s="3"/>
      <x:c r="L53" s="3" t="str">
        <x:v>① 편제표 11행 / 학급 수 조건</x:v>
      </x:c>
    </x:row>
    <x:row r="54" ht="25" customHeight="1">
      <x:c r="A54" s="3"/>
      <x:c r="B54" s="3" t="n">
        <x:v>3</x:v>
      </x:c>
      <x:c r="C54" s="3" t="str">
        <x:v>학교 지정</x:v>
      </x:c>
      <x:c r="D54" s="3" t="str">
        <x:v>스포츠 문화</x:v>
      </x:c>
      <x:c r="E54" s="3" t="str">
        <x:v>체육</x:v>
      </x:c>
      <x:c r="F54" s="3" t="str">
        <x:v>진로</x:v>
      </x:c>
      <x:c r="G54" s="48" t="n">
        <x:v>1</x:v>
      </x:c>
      <x:c r="H54" s="48" t="n">
        <x:v>12</x:v>
      </x:c>
      <x:c r="I54" s="48" t="n">
        <x:f>G54*H54</x:f>
        <x:v>12</x:v>
      </x:c>
      <x:c r="J54" s="3" t="str">
        <x:v>학급 수 적용</x:v>
      </x:c>
      <x:c r="K54" s="3"/>
      <x:c r="L54" s="3" t="str">
        <x:v>① 편제표 18행 / 학급 수 조건</x:v>
      </x:c>
    </x:row>
    <x:row r="55" ht="25" customHeight="1">
      <x:c r="A55" s="3"/>
      <x:c r="B55" s="3" t="n">
        <x:v>3</x:v>
      </x:c>
      <x:c r="C55" s="3" t="str">
        <x:v>학교 지정</x:v>
      </x:c>
      <x:c r="D55" s="3" t="str">
        <x:v>음악 연주와 창작</x:v>
      </x:c>
      <x:c r="E55" s="3" t="str">
        <x:v>음악</x:v>
      </x:c>
      <x:c r="F55" s="3" t="str">
        <x:v>진로</x:v>
      </x:c>
      <x:c r="G55" s="48" t="n">
        <x:v>2</x:v>
      </x:c>
      <x:c r="H55" s="48" t="n">
        <x:v>6</x:v>
      </x:c>
      <x:c r="I55" s="48" t="n">
        <x:f>G55*H55</x:f>
        <x:v>12</x:v>
      </x:c>
      <x:c r="J55" s="3" t="str">
        <x:v>학기 교차</x:v>
      </x:c>
      <x:c r="K55" s="3"/>
      <x:c r="L55" s="3" t="str">
        <x:v>① 편제표 20행 / 학급 수 조건</x:v>
      </x:c>
    </x:row>
    <x:row r="56" ht="25" customHeight="1">
      <x:c r="A56" s="3"/>
      <x:c r="B56" s="3" t="n">
        <x:v>3</x:v>
      </x:c>
      <x:c r="C56" s="3" t="str">
        <x:v>학교 지정</x:v>
      </x:c>
      <x:c r="D56" s="3" t="str">
        <x:v>미술 창작</x:v>
      </x:c>
      <x:c r="E56" s="3" t="str">
        <x:v>미술</x:v>
      </x:c>
      <x:c r="F56" s="3" t="str">
        <x:v>진로</x:v>
      </x:c>
      <x:c r="G56" s="48" t="n">
        <x:v>2</x:v>
      </x:c>
      <x:c r="H56" s="48" t="n">
        <x:v>6</x:v>
      </x:c>
      <x:c r="I56" s="48" t="n">
        <x:f>G56*H56</x:f>
        <x:v>12</x:v>
      </x:c>
      <x:c r="J56" s="3" t="str">
        <x:v>학기 교차</x:v>
      </x:c>
      <x:c r="K56" s="3"/>
      <x:c r="L56" s="3" t="str">
        <x:v>① 편제표 20행 / 학급 수 조건</x:v>
      </x:c>
    </x:row>
    <x:row r="57" ht="25" customHeight="1">
      <x:c r="A57" s="3"/>
      <x:c r="B57" s="3" t="n">
        <x:v>3</x:v>
      </x:c>
      <x:c r="C57" s="3" t="str">
        <x:v>택1 (F)</x:v>
      </x:c>
      <x:c r="D57" s="3" t="str">
        <x:v>문학과 영상</x:v>
      </x:c>
      <x:c r="E57" s="3" t="str">
        <x:v>국어</x:v>
      </x:c>
      <x:c r="F57" s="3" t="str">
        <x:v>진로</x:v>
      </x:c>
      <x:c r="G57" s="48" t="n">
        <x:v>3</x:v>
      </x:c>
      <x:c r="H57" s="48" t="n">
        <x:v>3</x:v>
      </x:c>
      <x:c r="I57" s="48" t="n">
        <x:f>G57*H57</x:f>
        <x:v>9</x:v>
      </x:c>
      <x:c r="J57" s="3" t="str">
        <x:v>기존 비율·총반수 조정</x:v>
      </x:c>
      <x:c r="K57" s="3"/>
      <x:c r="L57" s="3" t="str">
        <x:v>① 편제표 31행 / ② 2학년=&gt;3학년!X4</x:v>
      </x:c>
    </x:row>
    <x:row r="58" ht="25" customHeight="1">
      <x:c r="A58" s="3"/>
      <x:c r="B58" s="3" t="n">
        <x:v>3</x:v>
      </x:c>
      <x:c r="C58" s="3" t="str">
        <x:v>택1 (F)</x:v>
      </x:c>
      <x:c r="D58" s="3" t="str">
        <x:v>미적분Ⅱ</x:v>
      </x:c>
      <x:c r="E58" s="3" t="str">
        <x:v>수학</x:v>
      </x:c>
      <x:c r="F58" s="3" t="str">
        <x:v>진로</x:v>
      </x:c>
      <x:c r="G58" s="48" t="n">
        <x:v>3</x:v>
      </x:c>
      <x:c r="H58" s="48" t="n">
        <x:v>3</x:v>
      </x:c>
      <x:c r="I58" s="48" t="n">
        <x:f>G58*H58</x:f>
        <x:v>9</x:v>
      </x:c>
      <x:c r="J58" s="3" t="str">
        <x:v>기존 비율·총반수 조정</x:v>
      </x:c>
      <x:c r="K58" s="3"/>
      <x:c r="L58" s="3" t="str">
        <x:v>① 편제표 31행 / ② 2학년=&gt;3학년!X5</x:v>
      </x:c>
    </x:row>
    <x:row r="59" ht="25" customHeight="1">
      <x:c r="A59" s="3"/>
      <x:c r="B59" s="3" t="n">
        <x:v>3</x:v>
      </x:c>
      <x:c r="C59" s="3" t="str">
        <x:v>택1 (F)</x:v>
      </x:c>
      <x:c r="D59" s="3" t="str">
        <x:v>실용 통계</x:v>
      </x:c>
      <x:c r="E59" s="3" t="str">
        <x:v>수학</x:v>
      </x:c>
      <x:c r="F59" s="3" t="str">
        <x:v>진로</x:v>
      </x:c>
      <x:c r="G59" s="48" t="n">
        <x:v>3</x:v>
      </x:c>
      <x:c r="H59" s="48" t="n">
        <x:v>3</x:v>
      </x:c>
      <x:c r="I59" s="48" t="n">
        <x:f>G59*H59</x:f>
        <x:v>9</x:v>
      </x:c>
      <x:c r="J59" s="3" t="str">
        <x:v>기존 비율·총반수 조정</x:v>
      </x:c>
      <x:c r="K59" s="3"/>
      <x:c r="L59" s="3" t="str">
        <x:v>① 편제표 31행 / ② 2학년=&gt;3학년!X37</x:v>
      </x:c>
    </x:row>
    <x:row r="60" ht="25" customHeight="1">
      <x:c r="A60" s="3"/>
      <x:c r="B60" s="3" t="n">
        <x:v>3</x:v>
      </x:c>
      <x:c r="C60" s="3" t="str">
        <x:v>택1 (F)</x:v>
      </x:c>
      <x:c r="D60" s="3" t="str">
        <x:v>세계 문화와 영어</x:v>
      </x:c>
      <x:c r="E60" s="3" t="str">
        <x:v>영어</x:v>
      </x:c>
      <x:c r="F60" s="3" t="str">
        <x:v>융합</x:v>
      </x:c>
      <x:c r="G60" s="48" t="n">
        <x:v>3</x:v>
      </x:c>
      <x:c r="H60" s="48" t="n">
        <x:v>3</x:v>
      </x:c>
      <x:c r="I60" s="48" t="n">
        <x:f>G60*H60</x:f>
        <x:v>9</x:v>
      </x:c>
      <x:c r="J60" s="3" t="str">
        <x:v>선택군 평균</x:v>
      </x:c>
      <x:c r="K60" s="3"/>
      <x:c r="L60" s="3" t="str">
        <x:v>① 편제표 32행 / 선택자료 없음</x:v>
      </x:c>
    </x:row>
    <x:row r="61" ht="25" customHeight="1">
      <x:c r="A61" s="3"/>
      <x:c r="B61" s="3" t="n">
        <x:v>3</x:v>
      </x:c>
      <x:c r="C61" s="3" t="str">
        <x:v>택4 (G)</x:v>
      </x:c>
      <x:c r="D61" s="3" t="str">
        <x:v>인공지능 수학</x:v>
      </x:c>
      <x:c r="E61" s="3" t="str">
        <x:v>수학</x:v>
      </x:c>
      <x:c r="F61" s="3" t="str">
        <x:v>진로</x:v>
      </x:c>
      <x:c r="G61" s="48" t="n">
        <x:v>3</x:v>
      </x:c>
      <x:c r="H61" s="48" t="n">
        <x:f>'경제 수요 보정'!K42</x:f>
        <x:v>4</x:v>
      </x:c>
      <x:c r="I61" s="48" t="n">
        <x:f>G61*H61</x:f>
        <x:v>12</x:v>
      </x:c>
      <x:c r="J61" s="3" t="str">
        <x:v>경제 수요 보정·총반수 조정</x:v>
      </x:c>
      <x:c r="K61" s="3"/>
      <x:c r="L61" s="3" t="str">
        <x:v>① 편제표 33행 / 선택자료 없음</x:v>
      </x:c>
    </x:row>
    <x:row r="62" ht="25" customHeight="1">
      <x:c r="A62" s="3"/>
      <x:c r="B62" s="3" t="n">
        <x:v>3</x:v>
      </x:c>
      <x:c r="C62" s="3" t="str">
        <x:v>택4 (G)</x:v>
      </x:c>
      <x:c r="D62" s="3" t="str">
        <x:v>도시의 미래 탐구</x:v>
      </x:c>
      <x:c r="E62" s="3" t="str">
        <x:v>지리</x:v>
      </x:c>
      <x:c r="F62" s="3" t="str">
        <x:v>진로</x:v>
      </x:c>
      <x:c r="G62" s="48" t="n">
        <x:v>3</x:v>
      </x:c>
      <x:c r="H62" s="48" t="n">
        <x:f>'경제 수요 보정'!K43</x:f>
        <x:v>7</x:v>
      </x:c>
      <x:c r="I62" s="48" t="n">
        <x:f>G62*H62</x:f>
        <x:v>21</x:v>
      </x:c>
      <x:c r="J62" s="3" t="str">
        <x:v>경제 수요 보정·총반수 조정</x:v>
      </x:c>
      <x:c r="K62" s="3"/>
      <x:c r="L62" s="3" t="str">
        <x:v>① 편제표 34행 / ② 2학년=&gt;3학년!X7</x:v>
      </x:c>
    </x:row>
    <x:row r="63" ht="25" customHeight="1">
      <x:c r="A63" s="3"/>
      <x:c r="B63" s="3" t="n">
        <x:v>3</x:v>
      </x:c>
      <x:c r="C63" s="3" t="str">
        <x:v>택4 (G)</x:v>
      </x:c>
      <x:c r="D63" s="3" t="str">
        <x:v>경제</x:v>
      </x:c>
      <x:c r="E63" s="3" t="str">
        <x:v>일반사회</x:v>
      </x:c>
      <x:c r="F63" s="3" t="str">
        <x:v>진로</x:v>
      </x:c>
      <x:c r="G63" s="48" t="n">
        <x:v>3</x:v>
      </x:c>
      <x:c r="H63" s="48" t="n">
        <x:f>'경제 수요 보정'!K44</x:f>
        <x:v>4</x:v>
      </x:c>
      <x:c r="I63" s="48" t="n">
        <x:f>G63*H63</x:f>
        <x:v>12</x:v>
      </x:c>
      <x:c r="J63" s="3" t="str">
        <x:v>경제 수요 보정·총반수 조정</x:v>
      </x:c>
      <x:c r="K63" s="3"/>
      <x:c r="L63" s="3" t="str">
        <x:v>① 편제표 34행 / ② 2학년=&gt;3학년!X8</x:v>
      </x:c>
    </x:row>
    <x:row r="64" ht="25" customHeight="1">
      <x:c r="A64" s="3"/>
      <x:c r="B64" s="3" t="n">
        <x:v>3</x:v>
      </x:c>
      <x:c r="C64" s="3" t="str">
        <x:v>택4 (G)</x:v>
      </x:c>
      <x:c r="D64" s="3" t="str">
        <x:v>인문학과 윤리</x:v>
      </x:c>
      <x:c r="E64" s="3" t="str">
        <x:v>윤리</x:v>
      </x:c>
      <x:c r="F64" s="3" t="str">
        <x:v>진로</x:v>
      </x:c>
      <x:c r="G64" s="48" t="n">
        <x:v>3</x:v>
      </x:c>
      <x:c r="H64" s="48" t="n">
        <x:f>'경제 수요 보정'!K45</x:f>
        <x:v>4</x:v>
      </x:c>
      <x:c r="I64" s="48" t="n">
        <x:f>G64*H64</x:f>
        <x:v>12</x:v>
      </x:c>
      <x:c r="J64" s="3" t="str">
        <x:v>경제 수요 보정·총반수 조정</x:v>
      </x:c>
      <x:c r="K64" s="3"/>
      <x:c r="L64" s="3" t="str">
        <x:v>① 편제표 34행 / ② 2학년=&gt;3학년!X10</x:v>
      </x:c>
    </x:row>
    <x:row r="65" ht="25" customHeight="1">
      <x:c r="A65" s="3"/>
      <x:c r="B65" s="3" t="n">
        <x:v>3</x:v>
      </x:c>
      <x:c r="C65" s="3" t="str">
        <x:v>택4 (G)</x:v>
      </x:c>
      <x:c r="D65" s="3" t="str">
        <x:v>국제 관계의 이해</x:v>
      </x:c>
      <x:c r="E65" s="3" t="str">
        <x:v>일반사회</x:v>
      </x:c>
      <x:c r="F65" s="3" t="str">
        <x:v>진로</x:v>
      </x:c>
      <x:c r="G65" s="48" t="n">
        <x:v>3</x:v>
      </x:c>
      <x:c r="H65" s="48" t="n">
        <x:f>'경제 수요 보정'!K46</x:f>
        <x:v>7</x:v>
      </x:c>
      <x:c r="I65" s="48" t="n">
        <x:f>G65*H65</x:f>
        <x:v>21</x:v>
      </x:c>
      <x:c r="J65" s="3" t="str">
        <x:v>경제 수요 보정·총반수 조정</x:v>
      </x:c>
      <x:c r="K65" s="3"/>
      <x:c r="L65" s="3" t="str">
        <x:v>① 편제표 34행 / ② 2학년=&gt;3학년!X11</x:v>
      </x:c>
    </x:row>
    <x:row r="66" ht="25" customHeight="1">
      <x:c r="A66" s="3"/>
      <x:c r="B66" s="3" t="n">
        <x:v>3</x:v>
      </x:c>
      <x:c r="C66" s="3" t="str">
        <x:v>택4 (G)</x:v>
      </x:c>
      <x:c r="D66" s="3" t="str">
        <x:v>역사로 탐구하는 현대 세계</x:v>
      </x:c>
      <x:c r="E66" s="3" t="str">
        <x:v>역사</x:v>
      </x:c>
      <x:c r="F66" s="3" t="str">
        <x:v>융합</x:v>
      </x:c>
      <x:c r="G66" s="48" t="n">
        <x:v>3</x:v>
      </x:c>
      <x:c r="H66" s="48" t="n">
        <x:f>'경제 수요 보정'!K47</x:f>
        <x:v>5</x:v>
      </x:c>
      <x:c r="I66" s="48" t="n">
        <x:f>G66*H66</x:f>
        <x:v>15</x:v>
      </x:c>
      <x:c r="J66" s="3" t="str">
        <x:v>경제 수요 보정·총반수 조정</x:v>
      </x:c>
      <x:c r="K66" s="3"/>
      <x:c r="L66" s="3" t="str">
        <x:v>① 편제표 35행 / ② 2학년=&gt;3학년!X13</x:v>
      </x:c>
    </x:row>
    <x:row r="67" ht="25" customHeight="1">
      <x:c r="A67" s="3"/>
      <x:c r="B67" s="3" t="n">
        <x:v>3</x:v>
      </x:c>
      <x:c r="C67" s="3" t="str">
        <x:v>택4 (G)</x:v>
      </x:c>
      <x:c r="D67" s="3" t="str">
        <x:v>전자기와 양자</x:v>
      </x:c>
      <x:c r="E67" s="3" t="str">
        <x:v>물리학</x:v>
      </x:c>
      <x:c r="F67" s="3" t="str">
        <x:v>진로</x:v>
      </x:c>
      <x:c r="G67" s="48" t="n">
        <x:v>3</x:v>
      </x:c>
      <x:c r="H67" s="48" t="n">
        <x:f>'경제 수요 보정'!K48</x:f>
        <x:v>3</x:v>
      </x:c>
      <x:c r="I67" s="48" t="n">
        <x:f>G67*H67</x:f>
        <x:v>9</x:v>
      </x:c>
      <x:c r="J67" s="3" t="str">
        <x:v>경제 수요 보정·총반수 조정</x:v>
      </x:c>
      <x:c r="K67" s="3"/>
      <x:c r="L67" s="3" t="str">
        <x:v>① 편제표 36행 / ② 2학년=&gt;3학년!X19</x:v>
      </x:c>
    </x:row>
    <x:row r="68" ht="25" customHeight="1">
      <x:c r="A68" s="3"/>
      <x:c r="B68" s="3" t="n">
        <x:v>3</x:v>
      </x:c>
      <x:c r="C68" s="3" t="str">
        <x:v>택4 (G)</x:v>
      </x:c>
      <x:c r="D68" s="3" t="str">
        <x:v>물질과 에너지</x:v>
      </x:c>
      <x:c r="E68" s="3" t="str">
        <x:v>화학</x:v>
      </x:c>
      <x:c r="F68" s="3" t="str">
        <x:v>진로</x:v>
      </x:c>
      <x:c r="G68" s="48" t="n">
        <x:v>3</x:v>
      </x:c>
      <x:c r="H68" s="48" t="n">
        <x:f>'경제 수요 보정'!K49</x:f>
        <x:v>8</x:v>
      </x:c>
      <x:c r="I68" s="48" t="n">
        <x:f>G68*H68</x:f>
        <x:v>24</x:v>
      </x:c>
      <x:c r="J68" s="3" t="str">
        <x:v>경제 수요 보정·총반수 조정</x:v>
      </x:c>
      <x:c r="K68" s="3"/>
      <x:c r="L68" s="3" t="str">
        <x:v>① 편제표 36행 / ② 2학년=&gt;3학년!X20</x:v>
      </x:c>
    </x:row>
    <x:row r="69" ht="25" customHeight="1">
      <x:c r="A69" s="3"/>
      <x:c r="B69" s="3" t="n">
        <x:v>3</x:v>
      </x:c>
      <x:c r="C69" s="3" t="str">
        <x:v>택4 (G)</x:v>
      </x:c>
      <x:c r="D69" s="3" t="str">
        <x:v>세포와 물질대사</x:v>
      </x:c>
      <x:c r="E69" s="3" t="str">
        <x:v>생명과학</x:v>
      </x:c>
      <x:c r="F69" s="3" t="str">
        <x:v>진로</x:v>
      </x:c>
      <x:c r="G69" s="48" t="n">
        <x:v>3</x:v>
      </x:c>
      <x:c r="H69" s="48" t="n">
        <x:f>'경제 수요 보정'!K50</x:f>
        <x:v>6</x:v>
      </x:c>
      <x:c r="I69" s="48" t="n">
        <x:f>G69*H69</x:f>
        <x:v>18</x:v>
      </x:c>
      <x:c r="J69" s="3" t="str">
        <x:v>경제 수요 보정·총반수 조정</x:v>
      </x:c>
      <x:c r="K69" s="3"/>
      <x:c r="L69" s="3" t="str">
        <x:v>① 편제표 36행 / ② 2학년=&gt;3학년!X22</x:v>
      </x:c>
    </x:row>
    <x:row r="70" ht="25" customHeight="1">
      <x:c r="A70" s="3"/>
      <x:c r="B70" s="3" t="n">
        <x:v>3</x:v>
      </x:c>
      <x:c r="C70" s="3" t="str">
        <x:v>택4 (G)</x:v>
      </x:c>
      <x:c r="D70" s="3" t="str">
        <x:v>지구시스템과학</x:v>
      </x:c>
      <x:c r="E70" s="3" t="str">
        <x:v>지구과학</x:v>
      </x:c>
      <x:c r="F70" s="3" t="str">
        <x:v>진로</x:v>
      </x:c>
      <x:c r="G70" s="48" t="n">
        <x:v>3</x:v>
      </x:c>
      <x:c r="H70" s="48" t="n">
        <x:f>'경제 수요 보정'!K51</x:f>
        <x:v>0</x:v>
      </x:c>
      <x:c r="I70" s="48" t="n">
        <x:f>G70*H70</x:f>
        <x:v>0</x:v>
      </x:c>
      <x:c r="J70" s="3" t="str">
        <x:v>경제 수요 보정·총반수 조정</x:v>
      </x:c>
      <x:c r="K70" s="3"/>
      <x:c r="L70" s="3" t="str">
        <x:v>① 편제표 36행 / ② 2학년=&gt;3학년!X24</x:v>
      </x:c>
    </x:row>
    <x:row r="71" ht="25" customHeight="1">
      <x:c r="A71" s="3"/>
      <x:c r="B71" s="3" t="n">
        <x:v>3</x:v>
      </x:c>
      <x:c r="C71" s="3" t="str">
        <x:v>택1 (H)</x:v>
      </x:c>
      <x:c r="D71" s="3" t="str">
        <x:v>인공지능 기초</x:v>
      </x:c>
      <x:c r="E71" s="3" t="str">
        <x:v>정보</x:v>
      </x:c>
      <x:c r="F71" s="3" t="str">
        <x:v>진로</x:v>
      </x:c>
      <x:c r="G71" s="48" t="n">
        <x:v>3</x:v>
      </x:c>
      <x:c r="H71" s="48" t="n">
        <x:v>6</x:v>
      </x:c>
      <x:c r="I71" s="48" t="n">
        <x:f>G71*H71</x:f>
        <x:v>18</x:v>
      </x:c>
      <x:c r="J71" s="3" t="str">
        <x:v>기존 비율·총반수 조정</x:v>
      </x:c>
      <x:c r="K71" s="3"/>
      <x:c r="L71" s="3" t="str">
        <x:v>① 편제표 37행 / ② 2학년=&gt;3학년!X26</x:v>
      </x:c>
    </x:row>
    <x:row r="72" ht="25" customHeight="1">
      <x:c r="A72" s="3"/>
      <x:c r="B72" s="3" t="n">
        <x:v>3</x:v>
      </x:c>
      <x:c r="C72" s="3" t="str">
        <x:v>택1 (H)</x:v>
      </x:c>
      <x:c r="D72" s="3" t="str">
        <x:v>일본어 회화</x:v>
      </x:c>
      <x:c r="E72" s="3" t="str">
        <x:v>일본어</x:v>
      </x:c>
      <x:c r="F72" s="3" t="str">
        <x:v>진로</x:v>
      </x:c>
      <x:c r="G72" s="48" t="n">
        <x:v>3</x:v>
      </x:c>
      <x:c r="H72" s="48" t="n">
        <x:v>5</x:v>
      </x:c>
      <x:c r="I72" s="48" t="n">
        <x:f>G72*H72</x:f>
        <x:v>15</x:v>
      </x:c>
      <x:c r="J72" s="3" t="str">
        <x:v>기존 비율·총반수 조정</x:v>
      </x:c>
      <x:c r="K72" s="3"/>
      <x:c r="L72" s="3" t="str">
        <x:v>① 편제표 38행 / ② 2학년=&gt;3학년!X27</x:v>
      </x:c>
    </x:row>
    <x:row r="73" ht="25" customHeight="1">
      <x:c r="A73" s="3"/>
      <x:c r="B73" s="3" t="n">
        <x:v>3</x:v>
      </x:c>
      <x:c r="C73" s="3" t="str">
        <x:v>택1 (H)</x:v>
      </x:c>
      <x:c r="D73" s="3" t="str">
        <x:v>중국어 회화</x:v>
      </x:c>
      <x:c r="E73" s="3" t="str">
        <x:v>중국어</x:v>
      </x:c>
      <x:c r="F73" s="3" t="str">
        <x:v>진로</x:v>
      </x:c>
      <x:c r="G73" s="48" t="n">
        <x:v>3</x:v>
      </x:c>
      <x:c r="H73" s="48" t="n">
        <x:v>1</x:v>
      </x:c>
      <x:c r="I73" s="48" t="n">
        <x:f>G73*H73</x:f>
        <x:v>3</x:v>
      </x:c>
      <x:c r="J73" s="3" t="str">
        <x:v>기존 비율·총반수 조정</x:v>
      </x:c>
      <x:c r="K73" s="3"/>
      <x:c r="L73" s="3" t="str">
        <x:v>① 편제표 38행 / ② 2학년=&gt;3학년!X28</x:v>
      </x:c>
    </x:row>
    <x:row r="74" ht="25" customHeight="1">
      <x:c r="A74" s="3"/>
      <x:c r="B74" s="3" t="n">
        <x:v>3</x:v>
      </x:c>
      <x:c r="C74" s="3" t="str">
        <x:v>택1 (H)</x:v>
      </x:c>
      <x:c r="D74" s="3" t="str">
        <x:v>언어생활과 한자</x:v>
      </x:c>
      <x:c r="E74" s="3" t="str">
        <x:v>한문</x:v>
      </x:c>
      <x:c r="F74" s="3" t="str">
        <x:v>융합</x:v>
      </x:c>
      <x:c r="G74" s="48" t="n">
        <x:v>3</x:v>
      </x:c>
      <x:c r="H74" s="48" t="n">
        <x:v>0</x:v>
      </x:c>
      <x:c r="I74" s="48" t="n">
        <x:f>G74*H74</x:f>
        <x:v>0</x:v>
      </x:c>
      <x:c r="J74" s="3" t="str">
        <x:v>기존 비율·총반수 조정</x:v>
      </x:c>
      <x:c r="K74" s="3"/>
      <x:c r="L74" s="3" t="str">
        <x:v>① 편제표 39행 / ② 2학년=&gt;3학년!X29</x:v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</x:sheetData>
  <x:conditionalFormatting sqref="C7:C17">
    <x:cfRule type="expression" dxfId="0" priority="1">
      <x:formula>OR(C7="",NOT(ISNUMBER(C7)),C7&lt;=0)</x:formula>
    </x:cfRule>
  </x:conditionalFormatting>
  <x:dataValidations count="1">
    <x:dataValidation type="whole" operator="between" sqref="C7:C17">
      <x:formula1>0</x:formula1>
      <x:formula2>100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43B53"/>
  </x:sheetPr>
  <x:sheetViews>
    <x:sheetView showGridLines="0" workbookViewId="0" tabSelecte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31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1.880000114440918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3" customHeight="1">
      <x:c r="A2" s="3"/>
      <x:c r="B2" s="4" t="str">
        <x:v>기존 교육과정 기준 사회·과학 3년 비교</x:v>
      </x:c>
      <x:c r="C2" s="3"/>
      <x:c r="D2" s="3"/>
      <x:c r="E2" s="3"/>
      <x:c r="F2" s="3"/>
      <x:c r="G2" s="3"/>
      <x:c r="H2" s="3"/>
      <x:c r="I2" s="3"/>
    </x:row>
    <x:row r="3" ht="25" customHeight="1">
      <x:c r="A3" s="3"/>
      <x:c r="B3" s="36"/>
      <x:c r="C3" s="36"/>
      <x:c r="D3" s="36"/>
      <x:c r="E3" s="36"/>
      <x:c r="F3" s="36"/>
      <x:c r="G3" s="36"/>
      <x:c r="H3" s="36"/>
      <x:c r="I3" s="36"/>
    </x:row>
    <x:row r="4" ht="25" customHeight="1">
      <x:c r="A4" s="3"/>
      <x:c r="B4" s="5" t="str">
        <x:v>세계 문화와 영어 이동 전의 기존안입니다. 단위는 주당 시수. 2027년은 선택자료 반영, 2028·2029년은 가정안입니다.</x:v>
      </x:c>
      <x:c r="C4" s="3"/>
      <x:c r="D4" s="3"/>
      <x:c r="E4" s="3"/>
      <x:c r="F4" s="3"/>
      <x:c r="G4" s="3"/>
      <x:c r="H4" s="3"/>
      <x:c r="I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9" customHeight="1">
      <x:c r="A6" s="3"/>
      <x:c r="B6" s="58" t="str">
        <x:v>구분</x:v>
      </x:c>
      <x:c r="C6" s="61" t="n">
        <x:v>2027</x:v>
      </x:c>
      <x:c r="D6" s="61" t="n">
        <x:v>2027</x:v>
      </x:c>
      <x:c r="E6" s="61" t="n">
        <x:v>2028</x:v>
      </x:c>
      <x:c r="F6" s="61" t="n">
        <x:v>2028</x:v>
      </x:c>
      <x:c r="G6" s="61" t="n">
        <x:v>2029</x:v>
      </x:c>
      <x:c r="H6" s="62" t="n">
        <x:v>2029</x:v>
      </x:c>
      <x:c r="I6" s="3"/>
    </x:row>
    <x:row r="7" ht="29" customHeight="1">
      <x:c r="A7" s="3"/>
      <x:c r="B7" s="58" t="str">
        <x:v>학기</x:v>
      </x:c>
      <x:c r="C7" s="63" t="n">
        <x:v>1</x:v>
      </x:c>
      <x:c r="D7" s="63" t="n">
        <x:v>2</x:v>
      </x:c>
      <x:c r="E7" s="63" t="n">
        <x:v>1</x:v>
      </x:c>
      <x:c r="F7" s="63" t="n">
        <x:v>2</x:v>
      </x:c>
      <x:c r="G7" s="63" t="n">
        <x:v>1</x:v>
      </x:c>
      <x:c r="H7" s="64" t="n">
        <x:v>2</x:v>
      </x:c>
      <x:c r="I7" s="3"/>
    </x:row>
    <x:row r="8" ht="29" customHeight="1">
      <x:c r="A8" s="3"/>
      <x:c r="B8" s="66" t="str">
        <x:v>사회 영역 시수</x:v>
      </x:c>
      <x:c r="C8" s="71"/>
      <x:c r="D8" s="71"/>
      <x:c r="E8" s="71"/>
      <x:c r="F8" s="71"/>
      <x:c r="G8" s="71"/>
      <x:c r="H8" s="71"/>
      <x:c r="I8" s="45"/>
    </x:row>
    <x:row r="9" ht="25" customHeight="1">
      <x:c r="A9" s="3"/>
      <x:c r="B9" s="3" t="str">
        <x:v>일반사회</x:v>
      </x:c>
      <x:c r="C9" s="48" t="n">
        <x:f>SUMIFS('기존안 과목내역'!$K$8:$K$146,'기존안 과목내역'!$F$8:$F$146,$B9,'기존안 과목내역'!$B$8:$B$146,C$6,'기존안 과목내역'!$C$8:$C$146,C$7)</x:f>
        <x:v>39</x:v>
      </x:c>
      <x:c r="D9" s="48" t="n">
        <x:f>SUMIFS('기존안 과목내역'!$K$8:$K$146,'기존안 과목내역'!$F$8:$F$146,$B9,'기존안 과목내역'!$B$8:$B$146,D$6,'기존안 과목내역'!$C$8:$C$146,D$7)</x:f>
        <x:v>27</x:v>
      </x:c>
      <x:c r="E9" s="48" t="n">
        <x:f>SUMIFS('기존안 과목내역'!$K$8:$K$146,'기존안 과목내역'!$F$8:$F$146,$B9,'기존안 과목내역'!$B$8:$B$146,E$6,'기존안 과목내역'!$C$8:$C$146,E$7)</x:f>
        <x:v>45</x:v>
      </x:c>
      <x:c r="F9" s="48" t="n">
        <x:f>SUMIFS('기존안 과목내역'!$K$8:$K$146,'기존안 과목내역'!$F$8:$F$146,$B9,'기존안 과목내역'!$B$8:$B$146,F$6,'기존안 과목내역'!$C$8:$C$146,F$7)</x:f>
        <x:v>27</x:v>
      </x:c>
      <x:c r="G9" s="48" t="n">
        <x:f>SUMIFS('기존안 과목내역'!$K$8:$K$146,'기존안 과목내역'!$F$8:$F$146,$B9,'기존안 과목내역'!$B$8:$B$146,G$6,'기존안 과목내역'!$C$8:$C$146,G$7)</x:f>
        <x:v>51</x:v>
      </x:c>
      <x:c r="H9" s="48" t="n">
        <x:f>SUMIFS('기존안 과목내역'!$K$8:$K$146,'기존안 과목내역'!$F$8:$F$146,$B9,'기존안 과목내역'!$B$8:$B$146,H$6,'기존안 과목내역'!$C$8:$C$146,H$7)</x:f>
        <x:v>27</x:v>
      </x:c>
      <x:c r="I9" s="45"/>
    </x:row>
    <x:row r="10" ht="25" customHeight="1">
      <x:c r="A10" s="3"/>
      <x:c r="B10" s="3" t="str">
        <x:v>지리</x:v>
      </x:c>
      <x:c r="C10" s="48" t="n">
        <x:f>SUMIFS('기존안 과목내역'!$K$8:$K$146,'기존안 과목내역'!$F$8:$F$146,$B10,'기존안 과목내역'!$B$8:$B$146,C$6,'기존안 과목내역'!$C$8:$C$146,C$7)</x:f>
        <x:v>24</x:v>
      </x:c>
      <x:c r="D10" s="48" t="n">
        <x:f>SUMIFS('기존안 과목내역'!$K$8:$K$146,'기존안 과목내역'!$F$8:$F$146,$B10,'기존안 과목내역'!$B$8:$B$146,D$6,'기존안 과목내역'!$C$8:$C$146,D$7)</x:f>
        <x:v>6</x:v>
      </x:c>
      <x:c r="E10" s="48" t="n">
        <x:f>SUMIFS('기존안 과목내역'!$K$8:$K$146,'기존안 과목내역'!$F$8:$F$146,$B10,'기존안 과목내역'!$B$8:$B$146,E$6,'기존안 과목내역'!$C$8:$C$146,E$7)</x:f>
        <x:v>27</x:v>
      </x:c>
      <x:c r="F10" s="48" t="n">
        <x:f>SUMIFS('기존안 과목내역'!$K$8:$K$146,'기존안 과목내역'!$F$8:$F$146,$B10,'기존안 과목내역'!$B$8:$B$146,F$6,'기존안 과목내역'!$C$8:$C$146,F$7)</x:f>
        <x:v>6</x:v>
      </x:c>
      <x:c r="G10" s="48" t="n">
        <x:f>SUMIFS('기존안 과목내역'!$K$8:$K$146,'기존안 과목내역'!$F$8:$F$146,$B10,'기존안 과목내역'!$B$8:$B$146,G$6,'기존안 과목내역'!$C$8:$C$146,G$7)</x:f>
        <x:v>30</x:v>
      </x:c>
      <x:c r="H10" s="48" t="n">
        <x:f>SUMIFS('기존안 과목내역'!$K$8:$K$146,'기존안 과목내역'!$F$8:$F$146,$B10,'기존안 과목내역'!$B$8:$B$146,H$6,'기존안 과목내역'!$C$8:$C$146,H$7)</x:f>
        <x:v>6</x:v>
      </x:c>
      <x:c r="I10" s="45"/>
    </x:row>
    <x:row r="11" ht="25" customHeight="1">
      <x:c r="A11" s="3"/>
      <x:c r="B11" s="3" t="str">
        <x:v>역사</x:v>
      </x:c>
      <x:c r="C11" s="48" t="n">
        <x:f>SUMIFS('기존안 과목내역'!$K$8:$K$146,'기존안 과목내역'!$F$8:$F$146,$B11,'기존안 과목내역'!$B$8:$B$146,C$6,'기존안 과목내역'!$C$8:$C$146,C$7)</x:f>
        <x:v>48</x:v>
      </x:c>
      <x:c r="D11" s="48" t="n">
        <x:f>SUMIFS('기존안 과목내역'!$K$8:$K$146,'기존안 과목내역'!$F$8:$F$146,$B11,'기존안 과목내역'!$B$8:$B$146,D$6,'기존안 과목내역'!$C$8:$C$146,D$7)</x:f>
        <x:v>42</x:v>
      </x:c>
      <x:c r="E11" s="48" t="n">
        <x:f>SUMIFS('기존안 과목내역'!$K$8:$K$146,'기존안 과목내역'!$F$8:$F$146,$B11,'기존안 과목내역'!$B$8:$B$146,E$6,'기존안 과목내역'!$C$8:$C$146,E$7)</x:f>
        <x:v>45</x:v>
      </x:c>
      <x:c r="F11" s="48" t="n">
        <x:f>SUMIFS('기존안 과목내역'!$K$8:$K$146,'기존안 과목내역'!$F$8:$F$146,$B11,'기존안 과목내역'!$B$8:$B$146,F$6,'기존안 과목내역'!$C$8:$C$146,F$7)</x:f>
        <x:v>42</x:v>
      </x:c>
      <x:c r="G11" s="48" t="n">
        <x:f>SUMIFS('기존안 과목내역'!$K$8:$K$146,'기존안 과목내역'!$F$8:$F$146,$B11,'기존안 과목내역'!$B$8:$B$146,G$6,'기존안 과목내역'!$C$8:$C$146,G$7)</x:f>
        <x:v>45</x:v>
      </x:c>
      <x:c r="H11" s="48" t="n">
        <x:f>SUMIFS('기존안 과목내역'!$K$8:$K$146,'기존안 과목내역'!$F$8:$F$146,$B11,'기존안 과목내역'!$B$8:$B$146,H$6,'기존안 과목내역'!$C$8:$C$146,H$7)</x:f>
        <x:v>42</x:v>
      </x:c>
      <x:c r="I11" s="45"/>
    </x:row>
    <x:row r="12" ht="25" customHeight="1">
      <x:c r="A12" s="3"/>
      <x:c r="B12" s="3" t="str">
        <x:v>윤리</x:v>
      </x:c>
      <x:c r="C12" s="48" t="n">
        <x:f>SUMIFS('기존안 과목내역'!$K$8:$K$146,'기존안 과목내역'!$F$8:$F$146,$B12,'기존안 과목내역'!$B$8:$B$146,C$6,'기존안 과목내역'!$C$8:$C$146,C$7)</x:f>
        <x:v>33</x:v>
      </x:c>
      <x:c r="D12" s="48" t="n">
        <x:f>SUMIFS('기존안 과목내역'!$K$8:$K$146,'기존안 과목내역'!$F$8:$F$146,$B12,'기존안 과목내역'!$B$8:$B$146,D$6,'기존안 과목내역'!$C$8:$C$146,D$7)</x:f>
        <x:v>39</x:v>
      </x:c>
      <x:c r="E12" s="48" t="n">
        <x:f>SUMIFS('기존안 과목내역'!$K$8:$K$146,'기존안 과목내역'!$F$8:$F$146,$B12,'기존안 과목내역'!$B$8:$B$146,E$6,'기존안 과목내역'!$C$8:$C$146,E$7)</x:f>
        <x:v>27</x:v>
      </x:c>
      <x:c r="F12" s="48" t="n">
        <x:f>SUMIFS('기존안 과목내역'!$K$8:$K$146,'기존안 과목내역'!$F$8:$F$146,$B12,'기존안 과목내역'!$B$8:$B$146,F$6,'기존안 과목내역'!$C$8:$C$146,F$7)</x:f>
        <x:v>15</x:v>
      </x:c>
      <x:c r="G12" s="48" t="n">
        <x:f>SUMIFS('기존안 과목내역'!$K$8:$K$146,'기존안 과목내역'!$F$8:$F$146,$B12,'기존안 과목내역'!$B$8:$B$146,G$6,'기존안 과목내역'!$C$8:$C$146,G$7)</x:f>
        <x:v>30</x:v>
      </x:c>
      <x:c r="H12" s="48" t="n">
        <x:f>SUMIFS('기존안 과목내역'!$K$8:$K$146,'기존안 과목내역'!$F$8:$F$146,$B12,'기존안 과목내역'!$B$8:$B$146,H$6,'기존안 과목내역'!$C$8:$C$146,H$7)</x:f>
        <x:v>15</x:v>
      </x:c>
      <x:c r="I12" s="45"/>
    </x:row>
    <x:row r="13" ht="25" customHeight="1">
      <x:c r="A13" s="3"/>
      <x:c r="B13" s="3" t="str">
        <x:v>통합사회</x:v>
      </x:c>
      <x:c r="C13" s="48" t="n">
        <x:f>SUMIFS('기존안 과목내역'!$K$8:$K$146,'기존안 과목내역'!$F$8:$F$146,$B13,'기존안 과목내역'!$B$8:$B$146,C$6,'기존안 과목내역'!$C$8:$C$146,C$7)</x:f>
        <x:v>48</x:v>
      </x:c>
      <x:c r="D13" s="48" t="n">
        <x:f>SUMIFS('기존안 과목내역'!$K$8:$K$146,'기존안 과목내역'!$F$8:$F$146,$B13,'기존안 과목내역'!$B$8:$B$146,D$6,'기존안 과목내역'!$C$8:$C$146,D$7)</x:f>
        <x:v>48</x:v>
      </x:c>
      <x:c r="E13" s="48" t="n">
        <x:f>SUMIFS('기존안 과목내역'!$K$8:$K$146,'기존안 과목내역'!$F$8:$F$146,$B13,'기존안 과목내역'!$B$8:$B$146,E$6,'기존안 과목내역'!$C$8:$C$146,E$7)</x:f>
        <x:v>48</x:v>
      </x:c>
      <x:c r="F13" s="48" t="n">
        <x:f>SUMIFS('기존안 과목내역'!$K$8:$K$146,'기존안 과목내역'!$F$8:$F$146,$B13,'기존안 과목내역'!$B$8:$B$146,F$6,'기존안 과목내역'!$C$8:$C$146,F$7)</x:f>
        <x:v>48</x:v>
      </x:c>
      <x:c r="G13" s="48" t="n">
        <x:f>SUMIFS('기존안 과목내역'!$K$8:$K$146,'기존안 과목내역'!$F$8:$F$146,$B13,'기존안 과목내역'!$B$8:$B$146,G$6,'기존안 과목내역'!$C$8:$C$146,G$7)</x:f>
        <x:v>48</x:v>
      </x:c>
      <x:c r="H13" s="48" t="n">
        <x:f>SUMIFS('기존안 과목내역'!$K$8:$K$146,'기존안 과목내역'!$F$8:$F$146,$B13,'기존안 과목내역'!$B$8:$B$146,H$6,'기존안 과목내역'!$C$8:$C$146,H$7)</x:f>
        <x:v>48</x:v>
      </x:c>
      <x:c r="I13" s="45"/>
    </x:row>
    <x:row r="14" ht="25" customHeight="1">
      <x:c r="A14" s="3"/>
      <x:c r="B14" s="3" t="str">
        <x:v>사회 융합</x:v>
      </x:c>
      <x:c r="C14" s="48" t="n">
        <x:f>SUMIFS('기존안 과목내역'!$K$8:$K$146,'기존안 과목내역'!$F$8:$F$146,$B14,'기존안 과목내역'!$B$8:$B$146,C$6,'기존안 과목내역'!$C$8:$C$146,C$7)</x:f>
        <x:v>36</x:v>
      </x:c>
      <x:c r="D14" s="48" t="n">
        <x:f>SUMIFS('기존안 과목내역'!$K$8:$K$146,'기존안 과목내역'!$F$8:$F$146,$B14,'기존안 과목내역'!$B$8:$B$146,D$6,'기존안 과목내역'!$C$8:$C$146,D$7)</x:f>
        <x:v>60</x:v>
      </x:c>
      <x:c r="E14" s="48" t="n">
        <x:f>SUMIFS('기존안 과목내역'!$K$8:$K$146,'기존안 과목내역'!$F$8:$F$146,$B14,'기존안 과목내역'!$B$8:$B$146,E$6,'기존안 과목내역'!$C$8:$C$146,E$7)</x:f>
        <x:v>24</x:v>
      </x:c>
      <x:c r="F14" s="48" t="n">
        <x:f>SUMIFS('기존안 과목내역'!$K$8:$K$146,'기존안 과목내역'!$F$8:$F$146,$B14,'기존안 과목내역'!$B$8:$B$146,F$6,'기존안 과목내역'!$C$8:$C$146,F$7)</x:f>
        <x:v>57</x:v>
      </x:c>
      <x:c r="G14" s="48" t="n">
        <x:f>SUMIFS('기존안 과목내역'!$K$8:$K$146,'기존안 과목내역'!$F$8:$F$146,$B14,'기존안 과목내역'!$B$8:$B$146,G$6,'기존안 과목내역'!$C$8:$C$146,G$7)</x:f>
        <x:v>15</x:v>
      </x:c>
      <x:c r="H14" s="48" t="n">
        <x:f>SUMIFS('기존안 과목내역'!$K$8:$K$146,'기존안 과목내역'!$F$8:$F$146,$B14,'기존안 과목내역'!$B$8:$B$146,H$6,'기존안 과목내역'!$C$8:$C$146,H$7)</x:f>
        <x:v>60</x:v>
      </x:c>
      <x:c r="I14" s="45"/>
    </x:row>
    <x:row r="15" ht="29" customHeight="1">
      <x:c r="A15" s="3"/>
      <x:c r="B15" s="67" t="str">
        <x:v>사회 전체</x:v>
      </x:c>
      <x:c r="C15" s="72" t="n">
        <x:f>SUM(C9:C14)</x:f>
        <x:v>228</x:v>
      </x:c>
      <x:c r="D15" s="72" t="n">
        <x:f>SUM(D9:D14)</x:f>
        <x:v>222</x:v>
      </x:c>
      <x:c r="E15" s="72" t="n">
        <x:f>SUM(E9:E14)</x:f>
        <x:v>216</x:v>
      </x:c>
      <x:c r="F15" s="72" t="n">
        <x:f>SUM(F9:F14)</x:f>
        <x:v>195</x:v>
      </x:c>
      <x:c r="G15" s="72" t="n">
        <x:f>SUM(G9:G14)</x:f>
        <x:v>219</x:v>
      </x:c>
      <x:c r="H15" s="72" t="n">
        <x:f>SUM(H9:H14)</x:f>
        <x:v>198</x:v>
      </x:c>
      <x:c r="I15" s="45"/>
    </x:row>
    <x:row r="16" ht="25" customHeight="1">
      <x:c r="A16" s="3"/>
      <x:c r="B16" s="3"/>
      <x:c r="C16" s="48"/>
      <x:c r="D16" s="48"/>
      <x:c r="E16" s="48"/>
      <x:c r="F16" s="48"/>
      <x:c r="G16" s="48"/>
      <x:c r="H16" s="48"/>
      <x:c r="I16" s="45"/>
    </x:row>
    <x:row r="17" ht="29" customHeight="1">
      <x:c r="A17" s="3"/>
      <x:c r="B17" s="66" t="str">
        <x:v>과학 영역 시수</x:v>
      </x:c>
      <x:c r="C17" s="73"/>
      <x:c r="D17" s="73"/>
      <x:c r="E17" s="73"/>
      <x:c r="F17" s="73"/>
      <x:c r="G17" s="73"/>
      <x:c r="H17" s="73"/>
      <x:c r="I17" s="45"/>
    </x:row>
    <x:row r="18" ht="25" customHeight="1">
      <x:c r="A18" s="3"/>
      <x:c r="B18" s="3" t="str">
        <x:v>물리</x:v>
      </x:c>
      <x:c r="C18" s="48" t="n">
        <x:f>SUMIFS('기존안 과목내역'!$K$8:$K$146,'기존안 과목내역'!$F$8:$F$146,$B18,'기존안 과목내역'!$B$8:$B$146,C$6,'기존안 과목내역'!$C$8:$C$146,C$7)</x:f>
        <x:v>27</x:v>
      </x:c>
      <x:c r="D18" s="48" t="n">
        <x:f>SUMIFS('기존안 과목내역'!$K$8:$K$146,'기존안 과목내역'!$F$8:$F$146,$B18,'기존안 과목내역'!$B$8:$B$146,D$6,'기존안 과목내역'!$C$8:$C$146,D$7)</x:f>
        <x:v>12</x:v>
      </x:c>
      <x:c r="E18" s="48" t="n">
        <x:f>SUMIFS('기존안 과목내역'!$K$8:$K$146,'기존안 과목내역'!$F$8:$F$146,$B18,'기존안 과목내역'!$B$8:$B$146,E$6,'기존안 과목내역'!$C$8:$C$146,E$7)</x:f>
        <x:v>18</x:v>
      </x:c>
      <x:c r="F18" s="48" t="n">
        <x:f>SUMIFS('기존안 과목내역'!$K$8:$K$146,'기존안 과목내역'!$F$8:$F$146,$B18,'기존안 과목내역'!$B$8:$B$146,F$6,'기존안 과목내역'!$C$8:$C$146,F$7)</x:f>
        <x:v>12</x:v>
      </x:c>
      <x:c r="G18" s="48" t="n">
        <x:f>SUMIFS('기존안 과목내역'!$K$8:$K$146,'기존안 과목내역'!$F$8:$F$146,$B18,'기존안 과목내역'!$B$8:$B$146,G$6,'기존안 과목내역'!$C$8:$C$146,G$7)</x:f>
        <x:v>21</x:v>
      </x:c>
      <x:c r="H18" s="48" t="n">
        <x:f>SUMIFS('기존안 과목내역'!$K$8:$K$146,'기존안 과목내역'!$F$8:$F$146,$B18,'기존안 과목내역'!$B$8:$B$146,H$6,'기존안 과목내역'!$C$8:$C$146,H$7)</x:f>
        <x:v>12</x:v>
      </x:c>
      <x:c r="I18" s="45"/>
    </x:row>
    <x:row r="19" ht="25" customHeight="1">
      <x:c r="A19" s="3"/>
      <x:c r="B19" s="3" t="str">
        <x:v>화학</x:v>
      </x:c>
      <x:c r="C19" s="48" t="n">
        <x:f>SUMIFS('기존안 과목내역'!$K$8:$K$146,'기존안 과목내역'!$F$8:$F$146,$B19,'기존안 과목내역'!$B$8:$B$146,C$6,'기존안 과목내역'!$C$8:$C$146,C$7)</x:f>
        <x:v>57</x:v>
      </x:c>
      <x:c r="D19" s="48" t="n">
        <x:f>SUMIFS('기존안 과목내역'!$K$8:$K$146,'기존안 과목내역'!$F$8:$F$146,$B19,'기존안 과목내역'!$B$8:$B$146,D$6,'기존안 과목내역'!$C$8:$C$146,D$7)</x:f>
        <x:v>0</x:v>
      </x:c>
      <x:c r="E19" s="48" t="n">
        <x:f>SUMIFS('기존안 과목내역'!$K$8:$K$146,'기존안 과목내역'!$F$8:$F$146,$B19,'기존안 과목내역'!$B$8:$B$146,E$6,'기존안 과목내역'!$C$8:$C$146,E$7)</x:f>
        <x:v>60</x:v>
      </x:c>
      <x:c r="F19" s="48" t="n">
        <x:f>SUMIFS('기존안 과목내역'!$K$8:$K$146,'기존안 과목내역'!$F$8:$F$146,$B19,'기존안 과목내역'!$B$8:$B$146,F$6,'기존안 과목내역'!$C$8:$C$146,F$7)</x:f>
        <x:v>15</x:v>
      </x:c>
      <x:c r="G19" s="48" t="n">
        <x:f>SUMIFS('기존안 과목내역'!$K$8:$K$146,'기존안 과목내역'!$F$8:$F$146,$B19,'기존안 과목내역'!$B$8:$B$146,G$6,'기존안 과목내역'!$C$8:$C$146,G$7)</x:f>
        <x:v>39</x:v>
      </x:c>
      <x:c r="H19" s="48" t="n">
        <x:f>SUMIFS('기존안 과목내역'!$K$8:$K$146,'기존안 과목내역'!$F$8:$F$146,$B19,'기존안 과목내역'!$B$8:$B$146,H$6,'기존안 과목내역'!$C$8:$C$146,H$7)</x:f>
        <x:v>15</x:v>
      </x:c>
      <x:c r="I19" s="45"/>
    </x:row>
    <x:row r="20" ht="25" customHeight="1">
      <x:c r="A20" s="3"/>
      <x:c r="B20" s="3" t="str">
        <x:v>생물</x:v>
      </x:c>
      <x:c r="C20" s="48" t="n">
        <x:f>SUMIFS('기존안 과목내역'!$K$8:$K$146,'기존안 과목내역'!$F$8:$F$146,$B20,'기존안 과목내역'!$B$8:$B$146,C$6,'기존안 과목내역'!$C$8:$C$146,C$7)</x:f>
        <x:v>30</x:v>
      </x:c>
      <x:c r="D20" s="48" t="n">
        <x:f>SUMIFS('기존안 과목내역'!$K$8:$K$146,'기존안 과목내역'!$F$8:$F$146,$B20,'기존안 과목내역'!$B$8:$B$146,D$6,'기존안 과목내역'!$C$8:$C$146,D$7)</x:f>
        <x:v>36</x:v>
      </x:c>
      <x:c r="E20" s="48" t="n">
        <x:f>SUMIFS('기존안 과목내역'!$K$8:$K$146,'기존안 과목내역'!$F$8:$F$146,$B20,'기존안 과목내역'!$B$8:$B$146,E$6,'기존안 과목내역'!$C$8:$C$146,E$7)</x:f>
        <x:v>30</x:v>
      </x:c>
      <x:c r="F20" s="48" t="n">
        <x:f>SUMIFS('기존안 과목내역'!$K$8:$K$146,'기존안 과목내역'!$F$8:$F$146,$B20,'기존안 과목내역'!$B$8:$B$146,F$6,'기존안 과목내역'!$C$8:$C$146,F$7)</x:f>
        <x:v>12</x:v>
      </x:c>
      <x:c r="G20" s="48" t="n">
        <x:f>SUMIFS('기존안 과목내역'!$K$8:$K$146,'기존안 과목내역'!$F$8:$F$146,$B20,'기존안 과목내역'!$B$8:$B$146,G$6,'기존안 과목내역'!$C$8:$C$146,G$7)</x:f>
        <x:v>33</x:v>
      </x:c>
      <x:c r="H20" s="48" t="n">
        <x:f>SUMIFS('기존안 과목내역'!$K$8:$K$146,'기존안 과목내역'!$F$8:$F$146,$B20,'기존안 과목내역'!$B$8:$B$146,H$6,'기존안 과목내역'!$C$8:$C$146,H$7)</x:f>
        <x:v>12</x:v>
      </x:c>
      <x:c r="I20" s="45"/>
    </x:row>
    <x:row r="21" ht="25" customHeight="1">
      <x:c r="A21" s="3"/>
      <x:c r="B21" s="3" t="str">
        <x:v>지구과학</x:v>
      </x:c>
      <x:c r="C21" s="48" t="n">
        <x:f>SUMIFS('기존안 과목내역'!$K$8:$K$146,'기존안 과목내역'!$F$8:$F$146,$B21,'기존안 과목내역'!$B$8:$B$146,C$6,'기존안 과목내역'!$C$8:$C$146,C$7)</x:f>
        <x:v>15</x:v>
      </x:c>
      <x:c r="D21" s="48" t="n">
        <x:f>SUMIFS('기존안 과목내역'!$K$8:$K$146,'기존안 과목내역'!$F$8:$F$146,$B21,'기존안 과목내역'!$B$8:$B$146,D$6,'기존안 과목내역'!$C$8:$C$146,D$7)</x:f>
        <x:v>9</x:v>
      </x:c>
      <x:c r="E21" s="48" t="n">
        <x:f>SUMIFS('기존안 과목내역'!$K$8:$K$146,'기존안 과목내역'!$F$8:$F$146,$B21,'기존안 과목내역'!$B$8:$B$146,E$6,'기존안 과목내역'!$C$8:$C$146,E$7)</x:f>
        <x:v>12</x:v>
      </x:c>
      <x:c r="F21" s="48" t="n">
        <x:f>SUMIFS('기존안 과목내역'!$K$8:$K$146,'기존안 과목내역'!$F$8:$F$146,$B21,'기존안 과목내역'!$B$8:$B$146,F$6,'기존안 과목내역'!$C$8:$C$146,F$7)</x:f>
        <x:v>15</x:v>
      </x:c>
      <x:c r="G21" s="48" t="n">
        <x:f>SUMIFS('기존안 과목내역'!$K$8:$K$146,'기존안 과목내역'!$F$8:$F$146,$B21,'기존안 과목내역'!$B$8:$B$146,G$6,'기존안 과목내역'!$C$8:$C$146,G$7)</x:f>
        <x:v>12</x:v>
      </x:c>
      <x:c r="H21" s="48" t="n">
        <x:f>SUMIFS('기존안 과목내역'!$K$8:$K$146,'기존안 과목내역'!$F$8:$F$146,$B21,'기존안 과목내역'!$B$8:$B$146,H$6,'기존안 과목내역'!$C$8:$C$146,H$7)</x:f>
        <x:v>15</x:v>
      </x:c>
      <x:c r="I21" s="45"/>
    </x:row>
    <x:row r="22" ht="25" customHeight="1">
      <x:c r="A22" s="3"/>
      <x:c r="B22" s="3" t="str">
        <x:v>통합과학</x:v>
      </x:c>
      <x:c r="C22" s="48" t="n">
        <x:f>SUMIFS('기존안 과목내역'!$K$8:$K$146,'기존안 과목내역'!$F$8:$F$146,$B22,'기존안 과목내역'!$B$8:$B$146,C$6,'기존안 과목내역'!$C$8:$C$146,C$7)</x:f>
        <x:v>48</x:v>
      </x:c>
      <x:c r="D22" s="48" t="n">
        <x:f>SUMIFS('기존안 과목내역'!$K$8:$K$146,'기존안 과목내역'!$F$8:$F$146,$B22,'기존안 과목내역'!$B$8:$B$146,D$6,'기존안 과목내역'!$C$8:$C$146,D$7)</x:f>
        <x:v>48</x:v>
      </x:c>
      <x:c r="E22" s="48" t="n">
        <x:f>SUMIFS('기존안 과목내역'!$K$8:$K$146,'기존안 과목내역'!$F$8:$F$146,$B22,'기존안 과목내역'!$B$8:$B$146,E$6,'기존안 과목내역'!$C$8:$C$146,E$7)</x:f>
        <x:v>48</x:v>
      </x:c>
      <x:c r="F22" s="48" t="n">
        <x:f>SUMIFS('기존안 과목내역'!$K$8:$K$146,'기존안 과목내역'!$F$8:$F$146,$B22,'기존안 과목내역'!$B$8:$B$146,F$6,'기존안 과목내역'!$C$8:$C$146,F$7)</x:f>
        <x:v>48</x:v>
      </x:c>
      <x:c r="G22" s="48" t="n">
        <x:f>SUMIFS('기존안 과목내역'!$K$8:$K$146,'기존안 과목내역'!$F$8:$F$146,$B22,'기존안 과목내역'!$B$8:$B$146,G$6,'기존안 과목내역'!$C$8:$C$146,G$7)</x:f>
        <x:v>48</x:v>
      </x:c>
      <x:c r="H22" s="48" t="n">
        <x:f>SUMIFS('기존안 과목내역'!$K$8:$K$146,'기존안 과목내역'!$F$8:$F$146,$B22,'기존안 과목내역'!$B$8:$B$146,H$6,'기존안 과목내역'!$C$8:$C$146,H$7)</x:f>
        <x:v>48</x:v>
      </x:c>
      <x:c r="I22" s="45"/>
    </x:row>
    <x:row r="23" ht="25" customHeight="1">
      <x:c r="A23" s="3"/>
      <x:c r="B23" s="3" t="str">
        <x:v>과학탐구실험</x:v>
      </x:c>
      <x:c r="C23" s="48" t="n">
        <x:f>SUMIFS('기존안 과목내역'!$K$8:$K$146,'기존안 과목내역'!$F$8:$F$146,$B23,'기존안 과목내역'!$B$8:$B$146,C$6,'기존안 과목내역'!$C$8:$C$146,C$7)</x:f>
        <x:v>12</x:v>
      </x:c>
      <x:c r="D23" s="48" t="n">
        <x:f>SUMIFS('기존안 과목내역'!$K$8:$K$146,'기존안 과목내역'!$F$8:$F$146,$B23,'기존안 과목내역'!$B$8:$B$146,D$6,'기존안 과목내역'!$C$8:$C$146,D$7)</x:f>
        <x:v>12</x:v>
      </x:c>
      <x:c r="E23" s="48" t="n">
        <x:f>SUMIFS('기존안 과목내역'!$K$8:$K$146,'기존안 과목내역'!$F$8:$F$146,$B23,'기존안 과목내역'!$B$8:$B$146,E$6,'기존안 과목내역'!$C$8:$C$146,E$7)</x:f>
        <x:v>12</x:v>
      </x:c>
      <x:c r="F23" s="48" t="n">
        <x:f>SUMIFS('기존안 과목내역'!$K$8:$K$146,'기존안 과목내역'!$F$8:$F$146,$B23,'기존안 과목내역'!$B$8:$B$146,F$6,'기존안 과목내역'!$C$8:$C$146,F$7)</x:f>
        <x:v>12</x:v>
      </x:c>
      <x:c r="G23" s="48" t="n">
        <x:f>SUMIFS('기존안 과목내역'!$K$8:$K$146,'기존안 과목내역'!$F$8:$F$146,$B23,'기존안 과목내역'!$B$8:$B$146,G$6,'기존안 과목내역'!$C$8:$C$146,G$7)</x:f>
        <x:v>12</x:v>
      </x:c>
      <x:c r="H23" s="48" t="n">
        <x:f>SUMIFS('기존안 과목내역'!$K$8:$K$146,'기존안 과목내역'!$F$8:$F$146,$B23,'기존안 과목내역'!$B$8:$B$146,H$6,'기존안 과목내역'!$C$8:$C$146,H$7)</x:f>
        <x:v>12</x:v>
      </x:c>
      <x:c r="I23" s="45"/>
    </x:row>
    <x:row r="24" ht="25" customHeight="1">
      <x:c r="A24" s="3"/>
      <x:c r="B24" s="3" t="str">
        <x:v>과학 융합</x:v>
      </x:c>
      <x:c r="C24" s="48" t="n">
        <x:f>SUMIFS('기존안 과목내역'!$K$8:$K$146,'기존안 과목내역'!$F$8:$F$146,$B24,'기존안 과목내역'!$B$8:$B$146,C$6,'기존안 과목내역'!$C$8:$C$146,C$7)</x:f>
        <x:v>0</x:v>
      </x:c>
      <x:c r="D24" s="48" t="n">
        <x:f>SUMIFS('기존안 과목내역'!$K$8:$K$146,'기존안 과목내역'!$F$8:$F$146,$B24,'기존안 과목내역'!$B$8:$B$146,D$6,'기존안 과목내역'!$C$8:$C$146,D$7)</x:f>
        <x:v>78</x:v>
      </x:c>
      <x:c r="E24" s="48" t="n">
        <x:f>SUMIFS('기존안 과목내역'!$K$8:$K$146,'기존안 과목내역'!$F$8:$F$146,$B24,'기존안 과목내역'!$B$8:$B$146,E$6,'기존안 과목내역'!$C$8:$C$146,E$7)</x:f>
        <x:v>0</x:v>
      </x:c>
      <x:c r="F24" s="48" t="n">
        <x:f>SUMIFS('기존안 과목내역'!$K$8:$K$146,'기존안 과목내역'!$F$8:$F$146,$B24,'기존안 과목내역'!$B$8:$B$146,F$6,'기존안 과목내역'!$C$8:$C$146,F$7)</x:f>
        <x:v>99</x:v>
      </x:c>
      <x:c r="G24" s="48" t="n">
        <x:f>SUMIFS('기존안 과목내역'!$K$8:$K$146,'기존안 과목내역'!$F$8:$F$146,$B24,'기존안 과목내역'!$B$8:$B$146,G$6,'기존안 과목내역'!$C$8:$C$146,G$7)</x:f>
        <x:v>0</x:v>
      </x:c>
      <x:c r="H24" s="48" t="n">
        <x:f>SUMIFS('기존안 과목내역'!$K$8:$K$146,'기존안 과목내역'!$F$8:$F$146,$B24,'기존안 과목내역'!$B$8:$B$146,H$6,'기존안 과목내역'!$C$8:$C$146,H$7)</x:f>
        <x:v>84</x:v>
      </x:c>
      <x:c r="I24" s="45"/>
    </x:row>
    <x:row r="25" ht="29" customHeight="1">
      <x:c r="A25" s="3"/>
      <x:c r="B25" s="67" t="str">
        <x:v>과학 전체</x:v>
      </x:c>
      <x:c r="C25" s="72" t="n">
        <x:f>SUM(C18:C24)</x:f>
        <x:v>189</x:v>
      </x:c>
      <x:c r="D25" s="72" t="n">
        <x:f>SUM(D18:D24)</x:f>
        <x:v>195</x:v>
      </x:c>
      <x:c r="E25" s="72" t="n">
        <x:f>SUM(E18:E24)</x:f>
        <x:v>180</x:v>
      </x:c>
      <x:c r="F25" s="72" t="n">
        <x:f>SUM(F18:F24)</x:f>
        <x:v>213</x:v>
      </x:c>
      <x:c r="G25" s="72" t="n">
        <x:f>SUM(G18:G24)</x:f>
        <x:v>165</x:v>
      </x:c>
      <x:c r="H25" s="72" t="n">
        <x:f>SUM(H18:H24)</x:f>
        <x:v>198</x:v>
      </x:c>
      <x:c r="I25" s="45"/>
    </x:row>
    <x:row r="26" ht="25" customHeight="1">
      <x:c r="A26" s="3"/>
      <x:c r="B26" s="3"/>
      <x:c r="C26" s="45"/>
      <x:c r="D26" s="45"/>
      <x:c r="E26" s="45"/>
      <x:c r="F26" s="45"/>
      <x:c r="G26" s="45"/>
      <x:c r="H26" s="45"/>
      <x:c r="I26" s="45"/>
    </x:row>
    <x:row r="27" ht="25" customHeight="1">
      <x:c r="A27" s="3"/>
      <x:c r="B27" s="5" t="str">
        <x:v>융합과목은 위 세부 교과에서 분리하여 집계했습니다. 한국사1·2는 역사에 포함하며, 합계에 중복은 없습니다.</x:v>
      </x:c>
      <x:c r="C27" s="45"/>
      <x:c r="D27" s="45"/>
      <x:c r="E27" s="45"/>
      <x:c r="F27" s="45"/>
      <x:c r="G27" s="45"/>
      <x:c r="H27" s="45"/>
      <x:c r="I27" s="45"/>
    </x:row>
    <x:row r="28" ht="25" customHeight="1">
      <x:c r="A28" s="3"/>
      <x:c r="B28" s="3"/>
      <x:c r="C28" s="45"/>
      <x:c r="D28" s="45"/>
      <x:c r="E28" s="45"/>
      <x:c r="F28" s="45"/>
      <x:c r="G28" s="45"/>
      <x:c r="H28" s="45"/>
      <x:c r="I28" s="45"/>
    </x:row>
    <x:row r="29" ht="25" customHeight="1">
      <x:c r="A29" s="3"/>
      <x:c r="B29" s="3"/>
      <x:c r="C29" s="45"/>
      <x:c r="D29" s="45"/>
      <x:c r="E29" s="45"/>
      <x:c r="F29" s="45"/>
      <x:c r="G29" s="45"/>
      <x:c r="H29" s="45"/>
      <x:c r="I29" s="45"/>
    </x:row>
    <x:row r="30" ht="29" customHeight="1">
      <x:c r="A30" s="3"/>
      <x:c r="B30" s="66" t="str">
        <x:v>영역 전체 교사 1인당 평균</x:v>
      </x:c>
      <x:c r="C30" s="71"/>
      <x:c r="D30" s="71"/>
      <x:c r="E30" s="71"/>
      <x:c r="F30" s="71"/>
      <x:c r="G30" s="71"/>
      <x:c r="H30" s="71"/>
      <x:c r="I30" s="71" t="str">
        <x:v>교사 수</x:v>
      </x:c>
    </x:row>
    <x:row r="31" ht="25" customHeight="1">
      <x:c r="A31" s="3"/>
      <x:c r="B31" s="3" t="str">
        <x:v>사회 전체</x:v>
      </x:c>
      <x:c r="C31" s="50" t="n">
        <x:f>IF(OR(NOT(ISNUMBER($I31)),$I31&lt;=0),"미정",C15/$I31)</x:f>
        <x:v>19</x:v>
      </x:c>
      <x:c r="D31" s="50" t="n">
        <x:f>IF(OR(NOT(ISNUMBER($I31)),$I31&lt;=0),"미정",D15/$I31)</x:f>
        <x:v>18.5</x:v>
      </x:c>
      <x:c r="E31" s="50" t="n">
        <x:f>IF(OR(NOT(ISNUMBER($I31)),$I31&lt;=0),"미정",E15/$I31)</x:f>
        <x:v>18</x:v>
      </x:c>
      <x:c r="F31" s="50" t="n">
        <x:f>IF(OR(NOT(ISNUMBER($I31)),$I31&lt;=0),"미정",F15/$I31)</x:f>
        <x:v>16.25</x:v>
      </x:c>
      <x:c r="G31" s="50" t="n">
        <x:f>IF(OR(NOT(ISNUMBER($I31)),$I31&lt;=0),"미정",G15/$I31)</x:f>
        <x:v>18.25</x:v>
      </x:c>
      <x:c r="H31" s="50" t="n">
        <x:f>IF(OR(NOT(ISNUMBER($I31)),$I31&lt;=0),"미정",H15/$I31)</x:f>
        <x:v>16.5</x:v>
      </x:c>
      <x:c r="I31" s="74" t="n">
        <x:f>IF(OR(COUNT('산정근거'!$C$10:$C$13)&lt;&gt;4,MIN('산정근거'!$C$10:$C$13)&lt;=0),"미정",SUM('산정근거'!$C$10:$C$13))</x:f>
        <x:v>12</x:v>
      </x:c>
    </x:row>
    <x:row r="32" ht="25" customHeight="1">
      <x:c r="A32" s="3"/>
      <x:c r="B32" s="3" t="str">
        <x:v>과학 전체</x:v>
      </x:c>
      <x:c r="C32" s="50" t="n">
        <x:f>IF(OR(NOT(ISNUMBER($I32)),$I32&lt;=0),"미정",C25/$I32)</x:f>
        <x:v>17.181818181818183</x:v>
      </x:c>
      <x:c r="D32" s="50" t="n">
        <x:f>IF(OR(NOT(ISNUMBER($I32)),$I32&lt;=0),"미정",D25/$I32)</x:f>
        <x:v>17.727272727272727</x:v>
      </x:c>
      <x:c r="E32" s="50" t="n">
        <x:f>IF(OR(NOT(ISNUMBER($I32)),$I32&lt;=0),"미정",E25/$I32)</x:f>
        <x:v>16.363636363636363</x:v>
      </x:c>
      <x:c r="F32" s="50" t="n">
        <x:f>IF(OR(NOT(ISNUMBER($I32)),$I32&lt;=0),"미정",F25/$I32)</x:f>
        <x:v>19.363636363636363</x:v>
      </x:c>
      <x:c r="G32" s="50" t="n">
        <x:f>IF(OR(NOT(ISNUMBER($I32)),$I32&lt;=0),"미정",G25/$I32)</x:f>
        <x:v>15</x:v>
      </x:c>
      <x:c r="H32" s="50" t="n">
        <x:f>IF(OR(NOT(ISNUMBER($I32)),$I32&lt;=0),"미정",H25/$I32)</x:f>
        <x:v>18</x:v>
      </x:c>
      <x:c r="I32" s="74" t="n">
        <x:f>IF(OR(COUNT('산정근거'!$C$14:$C$17)&lt;&gt;4,MIN('산정근거'!$C$14:$C$17)&lt;=0),"미정",SUM('산정근거'!$C$14:$C$17))</x:f>
        <x:v>11</x:v>
      </x:c>
    </x:row>
    <x:row r="33" ht="25" customHeight="1">
      <x:c r="A33" s="3"/>
      <x:c r="B33" s="3"/>
      <x:c r="C33" s="45"/>
      <x:c r="D33" s="45"/>
      <x:c r="E33" s="45"/>
      <x:c r="F33" s="45"/>
      <x:c r="G33" s="45"/>
      <x:c r="H33" s="45"/>
      <x:c r="I33" s="74"/>
    </x:row>
    <x:row r="34" ht="25" customHeight="1">
      <x:c r="A34" s="3"/>
      <x:c r="B34" s="5" t="str">
        <x:v>사회 전체 평균은 통합·융합과목을, 과학 전체 평균은 통합·실험·융합과목을 포함합니다. 창체·교양은 제외했습니다.</x:v>
      </x:c>
      <x:c r="C34" s="45"/>
      <x:c r="D34" s="45"/>
      <x:c r="E34" s="45"/>
      <x:c r="F34" s="45"/>
      <x:c r="G34" s="45"/>
      <x:c r="H34" s="45"/>
      <x:c r="I34" s="74"/>
    </x:row>
    <x:row r="35" ht="25" customHeight="1">
      <x:c r="A35" s="3"/>
      <x:c r="B35" s="3"/>
      <x:c r="C35" s="45"/>
      <x:c r="D35" s="45"/>
      <x:c r="E35" s="45"/>
      <x:c r="F35" s="45"/>
      <x:c r="G35" s="45"/>
      <x:c r="H35" s="45"/>
      <x:c r="I35" s="74"/>
    </x:row>
    <x:row r="36" ht="25" customHeight="1">
      <x:c r="A36" s="3"/>
      <x:c r="B36" s="3"/>
      <x:c r="C36" s="45"/>
      <x:c r="D36" s="45"/>
      <x:c r="E36" s="45"/>
      <x:c r="F36" s="45"/>
      <x:c r="G36" s="45"/>
      <x:c r="H36" s="45"/>
      <x:c r="I36" s="74"/>
    </x:row>
    <x:row r="37" ht="29" customHeight="1">
      <x:c r="A37" s="3"/>
      <x:c r="B37" s="66" t="str">
        <x:v>담당 교과 평균: 공통과목 배정 전</x:v>
      </x:c>
      <x:c r="C37" s="71"/>
      <x:c r="D37" s="71"/>
      <x:c r="E37" s="71"/>
      <x:c r="F37" s="71"/>
      <x:c r="G37" s="71"/>
      <x:c r="H37" s="71"/>
      <x:c r="I37" s="75" t="str">
        <x:v>교사 수</x:v>
      </x:c>
    </x:row>
    <x:row r="38" ht="25" customHeight="1">
      <x:c r="A38" s="3"/>
      <x:c r="B38" s="3" t="str">
        <x:v>일반사회</x:v>
      </x:c>
      <x:c r="C38" s="50" t="n">
        <x:f>IF(OR(NOT(ISNUMBER($I38)),$I38&lt;=0),"미정",SUMIFS('기존안 과목내역'!$K$8:$K$146,'기존안 과목내역'!$G$8:$G$146,'산정근거'!$B$10,'기존안 과목내역'!$B$8:$B$146,C$6,'기존안 과목내역'!$C$8:$C$146,C$7)/$I38)</x:f>
        <x:v>12</x:v>
      </x:c>
      <x:c r="D38" s="50" t="n">
        <x:f>IF(OR(NOT(ISNUMBER($I38)),$I38&lt;=0),"미정",SUMIFS('기존안 과목내역'!$K$8:$K$146,'기존안 과목내역'!$G$8:$G$146,'산정근거'!$B$10,'기존안 과목내역'!$B$8:$B$146,D$6,'기존안 과목내역'!$C$8:$C$146,D$7)/$I38)</x:f>
        <x:v>16.5</x:v>
      </x:c>
      <x:c r="E38" s="50" t="n">
        <x:f>IF(OR(NOT(ISNUMBER($I38)),$I38&lt;=0),"미정",SUMIFS('기존안 과목내역'!$K$8:$K$146,'기존안 과목내역'!$G$8:$G$146,'산정근거'!$B$10,'기존안 과목내역'!$B$8:$B$146,E$6,'기존안 과목내역'!$C$8:$C$146,E$7)/$I38)</x:f>
        <x:v>12.75</x:v>
      </x:c>
      <x:c r="F38" s="50" t="n">
        <x:f>IF(OR(NOT(ISNUMBER($I38)),$I38&lt;=0),"미정",SUMIFS('기존안 과목내역'!$K$8:$K$146,'기존안 과목내역'!$G$8:$G$146,'산정근거'!$B$10,'기존안 과목내역'!$B$8:$B$146,F$6,'기존안 과목내역'!$C$8:$C$146,F$7)/$I38)</x:f>
        <x:v>11.25</x:v>
      </x:c>
      <x:c r="G38" s="50" t="n">
        <x:f>IF(OR(NOT(ISNUMBER($I38)),$I38&lt;=0),"미정",SUMIFS('기존안 과목내역'!$K$8:$K$146,'기존안 과목내역'!$G$8:$G$146,'산정근거'!$B$10,'기존안 과목내역'!$B$8:$B$146,G$6,'기존안 과목내역'!$C$8:$C$146,G$7)/$I38)</x:f>
        <x:v>12.75</x:v>
      </x:c>
      <x:c r="H38" s="50" t="n">
        <x:f>IF(OR(NOT(ISNUMBER($I38)),$I38&lt;=0),"미정",SUMIFS('기존안 과목내역'!$K$8:$K$146,'기존안 과목내역'!$G$8:$G$146,'산정근거'!$B$10,'기존안 과목내역'!$B$8:$B$146,H$6,'기존안 과목내역'!$C$8:$C$146,H$7)/$I38)</x:f>
        <x:v>13.5</x:v>
      </x:c>
      <x:c r="I38" s="74" t="n">
        <x:f>IF(ISNUMBER('산정근거'!C10),'산정근거'!C10,"미정")</x:f>
        <x:v>4</x:v>
      </x:c>
    </x:row>
    <x:row r="39" ht="25" customHeight="1">
      <x:c r="A39" s="3"/>
      <x:c r="B39" s="3" t="str">
        <x:v>지리</x:v>
      </x:c>
      <x:c r="C39" s="50" t="n">
        <x:f>IF(OR(NOT(ISNUMBER($I39)),$I39&lt;=0),"미정",SUMIFS('기존안 과목내역'!$K$8:$K$146,'기존안 과목내역'!$G$8:$G$146,'산정근거'!$B$11,'기존안 과목내역'!$B$8:$B$146,C$6,'기존안 과목내역'!$C$8:$C$146,C$7)/$I39)</x:f>
        <x:v>15</x:v>
      </x:c>
      <x:c r="D39" s="50" t="n">
        <x:f>IF(OR(NOT(ISNUMBER($I39)),$I39&lt;=0),"미정",SUMIFS('기존안 과목내역'!$K$8:$K$146,'기존안 과목내역'!$G$8:$G$146,'산정근거'!$B$11,'기존안 과목내역'!$B$8:$B$146,D$6,'기존안 과목내역'!$C$8:$C$146,D$7)/$I39)</x:f>
        <x:v>13.5</x:v>
      </x:c>
      <x:c r="E39" s="50" t="n">
        <x:f>IF(OR(NOT(ISNUMBER($I39)),$I39&lt;=0),"미정",SUMIFS('기존안 과목내역'!$K$8:$K$146,'기존안 과목내역'!$G$8:$G$146,'산정근거'!$B$11,'기존안 과목내역'!$B$8:$B$146,E$6,'기존안 과목내역'!$C$8:$C$146,E$7)/$I39)</x:f>
        <x:v>16.5</x:v>
      </x:c>
      <x:c r="F39" s="50" t="n">
        <x:f>IF(OR(NOT(ISNUMBER($I39)),$I39&lt;=0),"미정",SUMIFS('기존안 과목내역'!$K$8:$K$146,'기존안 과목내역'!$G$8:$G$146,'산정근거'!$B$11,'기존안 과목내역'!$B$8:$B$146,F$6,'기존안 과목내역'!$C$8:$C$146,F$7)/$I39)</x:f>
        <x:v>16.5</x:v>
      </x:c>
      <x:c r="G39" s="50" t="n">
        <x:f>IF(OR(NOT(ISNUMBER($I39)),$I39&lt;=0),"미정",SUMIFS('기존안 과목내역'!$K$8:$K$146,'기존안 과목내역'!$G$8:$G$146,'산정근거'!$B$11,'기존안 과목내역'!$B$8:$B$146,G$6,'기존안 과목내역'!$C$8:$C$146,G$7)/$I39)</x:f>
        <x:v>15</x:v>
      </x:c>
      <x:c r="H39" s="50" t="n">
        <x:f>IF(OR(NOT(ISNUMBER($I39)),$I39&lt;=0),"미정",SUMIFS('기존안 과목내역'!$K$8:$K$146,'기존안 과목내역'!$G$8:$G$146,'산정근거'!$B$11,'기존안 과목내역'!$B$8:$B$146,H$6,'기존안 과목내역'!$C$8:$C$146,H$7)/$I39)</x:f>
        <x:v>13.5</x:v>
      </x:c>
      <x:c r="I39" s="74" t="n">
        <x:f>IF(ISNUMBER('산정근거'!C11),'산정근거'!C11,"미정")</x:f>
        <x:v>2</x:v>
      </x:c>
    </x:row>
    <x:row r="40" ht="25" customHeight="1">
      <x:c r="A40" s="3"/>
      <x:c r="B40" s="3" t="str">
        <x:v>역사</x:v>
      </x:c>
      <x:c r="C40" s="50" t="n">
        <x:f>IF(OR(NOT(ISNUMBER($I40)),$I40&lt;=0),"미정",SUMIFS('기존안 과목내역'!$K$8:$K$146,'기존안 과목내역'!$G$8:$G$146,'산정근거'!$B$12,'기존안 과목내역'!$B$8:$B$146,C$6,'기존안 과목내역'!$C$8:$C$146,C$7)/$I40)</x:f>
        <x:v>20</x:v>
      </x:c>
      <x:c r="D40" s="50" t="n">
        <x:f>IF(OR(NOT(ISNUMBER($I40)),$I40&lt;=0),"미정",SUMIFS('기존안 과목내역'!$K$8:$K$146,'기존안 과목내역'!$G$8:$G$146,'산정근거'!$B$12,'기존안 과목내역'!$B$8:$B$146,D$6,'기존안 과목내역'!$C$8:$C$146,D$7)/$I40)</x:f>
        <x:v>14</x:v>
      </x:c>
      <x:c r="E40" s="50" t="n">
        <x:f>IF(OR(NOT(ISNUMBER($I40)),$I40&lt;=0),"미정",SUMIFS('기존안 과목내역'!$K$8:$K$146,'기존안 과목내역'!$G$8:$G$146,'산정근거'!$B$12,'기존안 과목내역'!$B$8:$B$146,E$6,'기존안 과목내역'!$C$8:$C$146,E$7)/$I40)</x:f>
        <x:v>19</x:v>
      </x:c>
      <x:c r="F40" s="50" t="n">
        <x:f>IF(OR(NOT(ISNUMBER($I40)),$I40&lt;=0),"미정",SUMIFS('기존안 과목내역'!$K$8:$K$146,'기존안 과목내역'!$G$8:$G$146,'산정근거'!$B$12,'기존안 과목내역'!$B$8:$B$146,F$6,'기존안 과목내역'!$C$8:$C$146,F$7)/$I40)</x:f>
        <x:v>14</x:v>
      </x:c>
      <x:c r="G40" s="50" t="n">
        <x:f>IF(OR(NOT(ISNUMBER($I40)),$I40&lt;=0),"미정",SUMIFS('기존안 과목내역'!$K$8:$K$146,'기존안 과목내역'!$G$8:$G$146,'산정근거'!$B$12,'기존안 과목내역'!$B$8:$B$146,G$6,'기존안 과목내역'!$C$8:$C$146,G$7)/$I40)</x:f>
        <x:v>20</x:v>
      </x:c>
      <x:c r="H40" s="50" t="n">
        <x:f>IF(OR(NOT(ISNUMBER($I40)),$I40&lt;=0),"미정",SUMIFS('기존안 과목내역'!$K$8:$K$146,'기존안 과목내역'!$G$8:$G$146,'산정근거'!$B$12,'기존안 과목내역'!$B$8:$B$146,H$6,'기존안 과목내역'!$C$8:$C$146,H$7)/$I40)</x:f>
        <x:v>14</x:v>
      </x:c>
      <x:c r="I40" s="74" t="n">
        <x:f>IF(ISNUMBER('산정근거'!C12),'산정근거'!C12,"미정")</x:f>
        <x:v>3</x:v>
      </x:c>
    </x:row>
    <x:row r="41" ht="25" customHeight="1">
      <x:c r="A41" s="3"/>
      <x:c r="B41" s="3" t="str">
        <x:v>윤리</x:v>
      </x:c>
      <x:c r="C41" s="50" t="n">
        <x:f>IF(OR(NOT(ISNUMBER($I41)),$I41&lt;=0),"미정",SUMIFS('기존안 과목내역'!$K$8:$K$146,'기존안 과목내역'!$G$8:$G$146,'산정근거'!$B$13,'기존안 과목내역'!$B$8:$B$146,C$6,'기존안 과목내역'!$C$8:$C$146,C$7)/$I41)</x:f>
        <x:v>14</x:v>
      </x:c>
      <x:c r="D41" s="50" t="n">
        <x:f>IF(OR(NOT(ISNUMBER($I41)),$I41&lt;=0),"미정",SUMIFS('기존안 과목내역'!$K$8:$K$146,'기존안 과목내역'!$G$8:$G$146,'산정근거'!$B$13,'기존안 과목내역'!$B$8:$B$146,D$6,'기존안 과목내역'!$C$8:$C$146,D$7)/$I41)</x:f>
        <x:v>13</x:v>
      </x:c>
      <x:c r="E41" s="50" t="n">
        <x:f>IF(OR(NOT(ISNUMBER($I41)),$I41&lt;=0),"미정",SUMIFS('기존안 과목내역'!$K$8:$K$146,'기존안 과목내역'!$G$8:$G$146,'산정근거'!$B$13,'기존안 과목내역'!$B$8:$B$146,E$6,'기존안 과목내역'!$C$8:$C$146,E$7)/$I41)</x:f>
        <x:v>9</x:v>
      </x:c>
      <x:c r="F41" s="50" t="n">
        <x:f>IF(OR(NOT(ISNUMBER($I41)),$I41&lt;=0),"미정",SUMIFS('기존안 과목내역'!$K$8:$K$146,'기존안 과목내역'!$G$8:$G$146,'산정근거'!$B$13,'기존안 과목내역'!$B$8:$B$146,F$6,'기존안 과목내역'!$C$8:$C$146,F$7)/$I41)</x:f>
        <x:v>9</x:v>
      </x:c>
      <x:c r="G41" s="50" t="n">
        <x:f>IF(OR(NOT(ISNUMBER($I41)),$I41&lt;=0),"미정",SUMIFS('기존안 과목내역'!$K$8:$K$146,'기존안 과목내역'!$G$8:$G$146,'산정근거'!$B$13,'기존안 과목내역'!$B$8:$B$146,G$6,'기존안 과목내역'!$C$8:$C$146,G$7)/$I41)</x:f>
        <x:v>10</x:v>
      </x:c>
      <x:c r="H41" s="50" t="n">
        <x:f>IF(OR(NOT(ISNUMBER($I41)),$I41&lt;=0),"미정",SUMIFS('기존안 과목내역'!$K$8:$K$146,'기존안 과목내역'!$G$8:$G$146,'산정근거'!$B$13,'기존안 과목내역'!$B$8:$B$146,H$6,'기존안 과목내역'!$C$8:$C$146,H$7)/$I41)</x:f>
        <x:v>9</x:v>
      </x:c>
      <x:c r="I41" s="74" t="n">
        <x:f>IF(ISNUMBER('산정근거'!C13),'산정근거'!C13,"미정")</x:f>
        <x:v>3</x:v>
      </x:c>
    </x:row>
    <x:row r="42" ht="25" customHeight="1">
      <x:c r="A42" s="3"/>
      <x:c r="B42" s="3" t="str">
        <x:v>물리</x:v>
      </x:c>
      <x:c r="C42" s="50" t="n">
        <x:f>IF(OR(NOT(ISNUMBER($I42)),$I42&lt;=0),"미정",SUMIFS('기존안 과목내역'!$K$8:$K$146,'기존안 과목내역'!$G$8:$G$146,'산정근거'!$B$14,'기존안 과목내역'!$B$8:$B$146,C$6,'기존안 과목내역'!$C$8:$C$146,C$7)/$I42)</x:f>
        <x:v>13.5</x:v>
      </x:c>
      <x:c r="D42" s="50" t="n">
        <x:f>IF(OR(NOT(ISNUMBER($I42)),$I42&lt;=0),"미정",SUMIFS('기존안 과목내역'!$K$8:$K$146,'기존안 과목내역'!$G$8:$G$146,'산정근거'!$B$14,'기존안 과목내역'!$B$8:$B$146,D$6,'기존안 과목내역'!$C$8:$C$146,D$7)/$I42)</x:f>
        <x:v>6</x:v>
      </x:c>
      <x:c r="E42" s="50" t="n">
        <x:f>IF(OR(NOT(ISNUMBER($I42)),$I42&lt;=0),"미정",SUMIFS('기존안 과목내역'!$K$8:$K$146,'기존안 과목내역'!$G$8:$G$146,'산정근거'!$B$14,'기존안 과목내역'!$B$8:$B$146,E$6,'기존안 과목내역'!$C$8:$C$146,E$7)/$I42)</x:f>
        <x:v>9</x:v>
      </x:c>
      <x:c r="F42" s="50" t="n">
        <x:f>IF(OR(NOT(ISNUMBER($I42)),$I42&lt;=0),"미정",SUMIFS('기존안 과목내역'!$K$8:$K$146,'기존안 과목내역'!$G$8:$G$146,'산정근거'!$B$14,'기존안 과목내역'!$B$8:$B$146,F$6,'기존안 과목내역'!$C$8:$C$146,F$7)/$I42)</x:f>
        <x:v>6</x:v>
      </x:c>
      <x:c r="G42" s="50" t="n">
        <x:f>IF(OR(NOT(ISNUMBER($I42)),$I42&lt;=0),"미정",SUMIFS('기존안 과목내역'!$K$8:$K$146,'기존안 과목내역'!$G$8:$G$146,'산정근거'!$B$14,'기존안 과목내역'!$B$8:$B$146,G$6,'기존안 과목내역'!$C$8:$C$146,G$7)/$I42)</x:f>
        <x:v>10.5</x:v>
      </x:c>
      <x:c r="H42" s="50" t="n">
        <x:f>IF(OR(NOT(ISNUMBER($I42)),$I42&lt;=0),"미정",SUMIFS('기존안 과목내역'!$K$8:$K$146,'기존안 과목내역'!$G$8:$G$146,'산정근거'!$B$14,'기존안 과목내역'!$B$8:$B$146,H$6,'기존안 과목내역'!$C$8:$C$146,H$7)/$I42)</x:f>
        <x:v>6</x:v>
      </x:c>
      <x:c r="I42" s="74" t="n">
        <x:f>IF(ISNUMBER('산정근거'!C14),'산정근거'!C14,"미정")</x:f>
        <x:v>2</x:v>
      </x:c>
    </x:row>
    <x:row r="43" ht="25" customHeight="1">
      <x:c r="A43" s="3"/>
      <x:c r="B43" s="3" t="str">
        <x:v>화학</x:v>
      </x:c>
      <x:c r="C43" s="50" t="n">
        <x:f>IF(OR(NOT(ISNUMBER($I43)),$I43&lt;=0),"미정",SUMIFS('기존안 과목내역'!$K$8:$K$146,'기존안 과목내역'!$G$8:$G$146,'산정근거'!$B$15,'기존안 과목내역'!$B$8:$B$146,C$6,'기존안 과목내역'!$C$8:$C$146,C$7)/$I43)</x:f>
        <x:v>19</x:v>
      </x:c>
      <x:c r="D43" s="50" t="n">
        <x:f>IF(OR(NOT(ISNUMBER($I43)),$I43&lt;=0),"미정",SUMIFS('기존안 과목내역'!$K$8:$K$146,'기존안 과목내역'!$G$8:$G$146,'산정근거'!$B$15,'기존안 과목내역'!$B$8:$B$146,D$6,'기존안 과목내역'!$C$8:$C$146,D$7)/$I43)</x:f>
        <x:v>0</x:v>
      </x:c>
      <x:c r="E43" s="50" t="n">
        <x:f>IF(OR(NOT(ISNUMBER($I43)),$I43&lt;=0),"미정",SUMIFS('기존안 과목내역'!$K$8:$K$146,'기존안 과목내역'!$G$8:$G$146,'산정근거'!$B$15,'기존안 과목내역'!$B$8:$B$146,E$6,'기존안 과목내역'!$C$8:$C$146,E$7)/$I43)</x:f>
        <x:v>20</x:v>
      </x:c>
      <x:c r="F43" s="50" t="n">
        <x:f>IF(OR(NOT(ISNUMBER($I43)),$I43&lt;=0),"미정",SUMIFS('기존안 과목내역'!$K$8:$K$146,'기존안 과목내역'!$G$8:$G$146,'산정근거'!$B$15,'기존안 과목내역'!$B$8:$B$146,F$6,'기존안 과목내역'!$C$8:$C$146,F$7)/$I43)</x:f>
        <x:v>5</x:v>
      </x:c>
      <x:c r="G43" s="50" t="n">
        <x:f>IF(OR(NOT(ISNUMBER($I43)),$I43&lt;=0),"미정",SUMIFS('기존안 과목내역'!$K$8:$K$146,'기존안 과목내역'!$G$8:$G$146,'산정근거'!$B$15,'기존안 과목내역'!$B$8:$B$146,G$6,'기존안 과목내역'!$C$8:$C$146,G$7)/$I43)</x:f>
        <x:v>13</x:v>
      </x:c>
      <x:c r="H43" s="50" t="n">
        <x:f>IF(OR(NOT(ISNUMBER($I43)),$I43&lt;=0),"미정",SUMIFS('기존안 과목내역'!$K$8:$K$146,'기존안 과목내역'!$G$8:$G$146,'산정근거'!$B$15,'기존안 과목내역'!$B$8:$B$146,H$6,'기존안 과목내역'!$C$8:$C$146,H$7)/$I43)</x:f>
        <x:v>5</x:v>
      </x:c>
      <x:c r="I43" s="74" t="n">
        <x:f>IF(ISNUMBER('산정근거'!C15),'산정근거'!C15,"미정")</x:f>
        <x:v>3</x:v>
      </x:c>
    </x:row>
    <x:row r="44" ht="25" customHeight="1">
      <x:c r="A44" s="3"/>
      <x:c r="B44" s="3" t="str">
        <x:v>생물</x:v>
      </x:c>
      <x:c r="C44" s="50" t="n">
        <x:f>IF(OR(NOT(ISNUMBER($I44)),$I44&lt;=0),"미정",SUMIFS('기존안 과목내역'!$K$8:$K$146,'기존안 과목내역'!$G$8:$G$146,'산정근거'!$B$16,'기존안 과목내역'!$B$8:$B$146,C$6,'기존안 과목내역'!$C$8:$C$146,C$7)/$I44)</x:f>
        <x:v>10</x:v>
      </x:c>
      <x:c r="D44" s="50" t="n">
        <x:f>IF(OR(NOT(ISNUMBER($I44)),$I44&lt;=0),"미정",SUMIFS('기존안 과목내역'!$K$8:$K$146,'기존안 과목내역'!$G$8:$G$146,'산정근거'!$B$16,'기존안 과목내역'!$B$8:$B$146,D$6,'기존안 과목내역'!$C$8:$C$146,D$7)/$I44)</x:f>
        <x:v>12</x:v>
      </x:c>
      <x:c r="E44" s="50" t="n">
        <x:f>IF(OR(NOT(ISNUMBER($I44)),$I44&lt;=0),"미정",SUMIFS('기존안 과목내역'!$K$8:$K$146,'기존안 과목내역'!$G$8:$G$146,'산정근거'!$B$16,'기존안 과목내역'!$B$8:$B$146,E$6,'기존안 과목내역'!$C$8:$C$146,E$7)/$I44)</x:f>
        <x:v>10</x:v>
      </x:c>
      <x:c r="F44" s="50" t="n">
        <x:f>IF(OR(NOT(ISNUMBER($I44)),$I44&lt;=0),"미정",SUMIFS('기존안 과목내역'!$K$8:$K$146,'기존안 과목내역'!$G$8:$G$146,'산정근거'!$B$16,'기존안 과목내역'!$B$8:$B$146,F$6,'기존안 과목내역'!$C$8:$C$146,F$7)/$I44)</x:f>
        <x:v>4</x:v>
      </x:c>
      <x:c r="G44" s="50" t="n">
        <x:f>IF(OR(NOT(ISNUMBER($I44)),$I44&lt;=0),"미정",SUMIFS('기존안 과목내역'!$K$8:$K$146,'기존안 과목내역'!$G$8:$G$146,'산정근거'!$B$16,'기존안 과목내역'!$B$8:$B$146,G$6,'기존안 과목내역'!$C$8:$C$146,G$7)/$I44)</x:f>
        <x:v>11</x:v>
      </x:c>
      <x:c r="H44" s="50" t="n">
        <x:f>IF(OR(NOT(ISNUMBER($I44)),$I44&lt;=0),"미정",SUMIFS('기존안 과목내역'!$K$8:$K$146,'기존안 과목내역'!$G$8:$G$146,'산정근거'!$B$16,'기존안 과목내역'!$B$8:$B$146,H$6,'기존안 과목내역'!$C$8:$C$146,H$7)/$I44)</x:f>
        <x:v>4</x:v>
      </x:c>
      <x:c r="I44" s="74" t="n">
        <x:f>IF(ISNUMBER('산정근거'!C16),'산정근거'!C16,"미정")</x:f>
        <x:v>3</x:v>
      </x:c>
    </x:row>
    <x:row r="45" ht="25" customHeight="1">
      <x:c r="A45" s="3"/>
      <x:c r="B45" s="3" t="str">
        <x:v>지구과학</x:v>
      </x:c>
      <x:c r="C45" s="50" t="n">
        <x:f>IF(OR(NOT(ISNUMBER($I45)),$I45&lt;=0),"미정",SUMIFS('기존안 과목내역'!$K$8:$K$146,'기존안 과목내역'!$G$8:$G$146,'산정근거'!$B$17,'기존안 과목내역'!$B$8:$B$146,C$6,'기존안 과목내역'!$C$8:$C$146,C$7)/$I45)</x:f>
        <x:v>5</x:v>
      </x:c>
      <x:c r="D45" s="50" t="n">
        <x:f>IF(OR(NOT(ISNUMBER($I45)),$I45&lt;=0),"미정",SUMIFS('기존안 과목내역'!$K$8:$K$146,'기존안 과목내역'!$G$8:$G$146,'산정근거'!$B$17,'기존안 과목내역'!$B$8:$B$146,D$6,'기존안 과목내역'!$C$8:$C$146,D$7)/$I45)</x:f>
        <x:v>3</x:v>
      </x:c>
      <x:c r="E45" s="50" t="n">
        <x:f>IF(OR(NOT(ISNUMBER($I45)),$I45&lt;=0),"미정",SUMIFS('기존안 과목내역'!$K$8:$K$146,'기존안 과목내역'!$G$8:$G$146,'산정근거'!$B$17,'기존안 과목내역'!$B$8:$B$146,E$6,'기존안 과목내역'!$C$8:$C$146,E$7)/$I45)</x:f>
        <x:v>4</x:v>
      </x:c>
      <x:c r="F45" s="50" t="n">
        <x:f>IF(OR(NOT(ISNUMBER($I45)),$I45&lt;=0),"미정",SUMIFS('기존안 과목내역'!$K$8:$K$146,'기존안 과목내역'!$G$8:$G$146,'산정근거'!$B$17,'기존안 과목내역'!$B$8:$B$146,F$6,'기존안 과목내역'!$C$8:$C$146,F$7)/$I45)</x:f>
        <x:v>5</x:v>
      </x:c>
      <x:c r="G45" s="50" t="n">
        <x:f>IF(OR(NOT(ISNUMBER($I45)),$I45&lt;=0),"미정",SUMIFS('기존안 과목내역'!$K$8:$K$146,'기존안 과목내역'!$G$8:$G$146,'산정근거'!$B$17,'기존안 과목내역'!$B$8:$B$146,G$6,'기존안 과목내역'!$C$8:$C$146,G$7)/$I45)</x:f>
        <x:v>4</x:v>
      </x:c>
      <x:c r="H45" s="50" t="n">
        <x:f>IF(OR(NOT(ISNUMBER($I45)),$I45&lt;=0),"미정",SUMIFS('기존안 과목내역'!$K$8:$K$146,'기존안 과목내역'!$G$8:$G$146,'산정근거'!$B$17,'기존안 과목내역'!$B$8:$B$146,H$6,'기존안 과목내역'!$C$8:$C$146,H$7)/$I45)</x:f>
        <x:v>5</x:v>
      </x:c>
      <x:c r="I45" s="74" t="n">
        <x:f>IF(ISNUMBER('산정근거'!C17),'산정근거'!C17,"미정")</x:f>
        <x:v>3</x:v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</x:row>
    <x:row r="47" ht="25" customHeight="1">
      <x:c r="A47" s="3"/>
      <x:c r="B47" s="5" t="str">
        <x:v>담당 교과 평균에서는 사회 융합을 원담당 교과에 합산했습니다. 통합사회·통합과학·과학탐구실험·과학 융합은 미배정입니다.</x:v>
      </x:c>
      <x:c r="C47" s="3"/>
      <x:c r="D47" s="3"/>
      <x:c r="E47" s="3"/>
      <x:c r="F47" s="3"/>
      <x:c r="G47" s="3"/>
      <x:c r="H47" s="3"/>
      <x:c r="I47" s="3"/>
    </x:row>
    <x:row r="48" ht="25" customHeight="1">
      <x:c r="A48" s="3"/>
      <x:c r="B48" s="5" t="str">
        <x:v>교사 수는 산정근거 시트의 노란 칸에서 수정합니다. 같은 교사 수를 2027~2029년의 양 학기에 적용했습니다.</x:v>
      </x:c>
      <x:c r="C48" s="3"/>
      <x:c r="D48" s="3"/>
      <x:c r="E48" s="3"/>
      <x:c r="F48" s="3"/>
      <x:c r="G48" s="3"/>
      <x:c r="H48" s="3"/>
      <x:c r="I48" s="3"/>
    </x:row>
    <x:row r="49" ht="25" customHeight="1">
      <x:c r="A49" s="3"/>
      <x:c r="B49" s="5" t="str">
        <x:v>학급 수(1·2·3학년): 2027년 12·13·13, 2028년 12·12·13, 2029년 12·12·12학급입니다.</x:v>
      </x:c>
      <x:c r="C49" s="3"/>
      <x:c r="D49" s="3"/>
      <x:c r="E49" s="3"/>
      <x:c r="F49" s="3"/>
      <x:c r="G49" s="3"/>
      <x:c r="H49" s="3"/>
      <x:c r="I49" s="3"/>
    </x:row>
    <x:row r="50" ht="25" customHeight="1">
      <x:c r="A50" s="3"/>
      <x:c r="B50" s="5" t="str">
        <x:v>2028·2029년 경제 57명·윤리와 사상 99명의 택3 수요 비중으로 보정했습니다. 나머지는 기존 비율과 신설 과목 평균 가정입니다.</x:v>
      </x:c>
      <x:c r="C50" s="3"/>
      <x:c r="D50" s="3"/>
      <x:c r="E50" s="3"/>
      <x:c r="F50" s="3"/>
      <x:c r="G50" s="3"/>
      <x:c r="H50" s="3"/>
      <x:c r="I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91A4B7"/>
  </x:sheetPr>
  <x:sheetViews>
    <x:sheetView showGridLines="0" workbookViewId="0" tabSelecte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10.630000114440918" hidden="0" customWidth="1"/>
    <x:col min="3" max="3" width="6.880000114440918" hidden="0" customWidth="1"/>
    <x:col min="4" max="4" width="7.5" hidden="0" customWidth="1"/>
    <x:col min="5" max="5" width="10.630000114440918" hidden="0" customWidth="1"/>
    <x:col min="6" max="6" width="18.1299991607666" hidden="0" customWidth="1"/>
    <x:col min="7" max="7" width="16.8799991607666" hidden="0" customWidth="1"/>
    <x:col min="8" max="8" width="31.8799991607666" hidden="0" customWidth="1"/>
    <x:col min="9" max="9" width="11.25" hidden="0" customWidth="1"/>
    <x:col min="10" max="10" width="10.630000114440918" hidden="0" customWidth="1"/>
    <x:col min="11" max="11" width="13.130000114440918" hidden="0" customWidth="1"/>
    <x:col min="12" max="12" width="21.8799991607666" hidden="0" customWidth="1"/>
    <x:col min="13" max="13" width="2.5" hidden="0" customWidth="1"/>
    <x:col min="14" max="14" width="58.7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3" customHeight="1">
      <x:c r="A2" s="3"/>
      <x:c r="B2" s="4" t="str">
        <x:v>기존 교육과정의 과목별 시수 산정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3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 ht="25" customHeight="1">
      <x:c r="A4" s="3"/>
      <x:c r="B4" s="5" t="str">
        <x:v>① 교육과정 원본의 2025·2026·2027 입학생 편제표를 사용했습니다. 2028·2029 입학생은 2027 입학생 편제표를 적용합니다.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5" customHeight="1">
      <x:c r="A5" s="3"/>
      <x:c r="B5" s="5" t="str">
        <x:v>② 선택인원 자료: 2027년은 최종 반 수 반영, 2028·2029년은 선택군 총반수를 맞춘 가정안. 파일명은 산정근거 시트 참조.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29" customHeight="1">
      <x:c r="A7" s="3"/>
      <x:c r="B7" s="58" t="str">
        <x:v>학년도</x:v>
      </x:c>
      <x:c r="C7" s="59" t="str">
        <x:v>학기</x:v>
      </x:c>
      <x:c r="D7" s="59" t="str">
        <x:v>학년</x:v>
      </x:c>
      <x:c r="E7" s="59" t="str">
        <x:v>입학년도</x:v>
      </x:c>
      <x:c r="F7" s="59" t="str">
        <x:v>시수 분류</x:v>
      </x:c>
      <x:c r="G7" s="59" t="str">
        <x:v>담당 교과</x:v>
      </x:c>
      <x:c r="H7" s="59" t="str">
        <x:v>과목명</x:v>
      </x:c>
      <x:c r="I7" s="59" t="str">
        <x:v>반당 시수</x:v>
      </x:c>
      <x:c r="J7" s="59" t="str">
        <x:v>개설 반 수</x:v>
      </x:c>
      <x:c r="K7" s="59" t="str">
        <x:v>주당 시수</x:v>
      </x:c>
      <x:c r="L7" s="60" t="str">
        <x:v>산정 구분</x:v>
      </x:c>
      <x:c r="M7" s="3"/>
      <x:c r="N7" s="16" t="str">
        <x:v>입력 원자료</x:v>
      </x:c>
    </x:row>
    <x:row r="8" ht="25" customHeight="1">
      <x:c r="A8" s="3"/>
      <x:c r="B8" s="18" t="n">
        <x:v>2027</x:v>
      </x:c>
      <x:c r="C8" s="18" t="n">
        <x:v>1</x:v>
      </x:c>
      <x:c r="D8" s="18" t="n">
        <x:v>1</x:v>
      </x:c>
      <x:c r="E8" s="18" t="n">
        <x:v>2027</x:v>
      </x:c>
      <x:c r="F8" s="3" t="str">
        <x:v>역사</x:v>
      </x:c>
      <x:c r="G8" s="3" t="str">
        <x:v>역사</x:v>
      </x:c>
      <x:c r="H8" s="3" t="str">
        <x:v>한국사1</x:v>
      </x:c>
      <x:c r="I8" s="48" t="n">
        <x:v>3</x:v>
      </x:c>
      <x:c r="J8" s="48" t="n">
        <x:v>12</x:v>
      </x:c>
      <x:c r="K8" s="48" t="n">
        <x:f>I8*J8</x:f>
        <x:v>36</x:v>
      </x:c>
      <x:c r="L8" s="3" t="str">
        <x:v>학급 수 적용</x:v>
      </x:c>
      <x:c r="M8" s="3"/>
      <x:c r="N8" s="3" t="str">
        <x:v>① 2027 입학생 편제표 12행 / 학급 수 조건</x:v>
      </x:c>
    </x:row>
    <x:row r="9" ht="25" customHeight="1">
      <x:c r="A9" s="3"/>
      <x:c r="B9" s="18" t="n">
        <x:v>2027</x:v>
      </x:c>
      <x:c r="C9" s="18" t="n">
        <x:v>1</x:v>
      </x:c>
      <x:c r="D9" s="18" t="n">
        <x:v>1</x:v>
      </x:c>
      <x:c r="E9" s="18" t="n">
        <x:v>2027</x:v>
      </x:c>
      <x:c r="F9" s="3" t="str">
        <x:v>통합사회</x:v>
      </x:c>
      <x:c r="G9" s="3" t="str">
        <x:v>사회 공통</x:v>
      </x:c>
      <x:c r="H9" s="3" t="str">
        <x:v>통합사회1</x:v>
      </x:c>
      <x:c r="I9" s="48" t="n">
        <x:v>4</x:v>
      </x:c>
      <x:c r="J9" s="48" t="n">
        <x:v>12</x:v>
      </x:c>
      <x:c r="K9" s="48" t="n">
        <x:f>I9*J9</x:f>
        <x:v>48</x:v>
      </x:c>
      <x:c r="L9" s="3" t="str">
        <x:v>학급 수 적용</x:v>
      </x:c>
      <x:c r="M9" s="3"/>
      <x:c r="N9" s="3" t="str">
        <x:v>① 2027 입학생 편제표 13행 / 학급 수 조건</x:v>
      </x:c>
    </x:row>
    <x:row r="10" ht="25" customHeight="1">
      <x:c r="A10" s="3"/>
      <x:c r="B10" s="18" t="n">
        <x:v>2027</x:v>
      </x:c>
      <x:c r="C10" s="18" t="n">
        <x:v>1</x:v>
      </x:c>
      <x:c r="D10" s="18" t="n">
        <x:v>1</x:v>
      </x:c>
      <x:c r="E10" s="18" t="n">
        <x:v>2027</x:v>
      </x:c>
      <x:c r="F10" s="3" t="str">
        <x:v>통합과학</x:v>
      </x:c>
      <x:c r="G10" s="3" t="str">
        <x:v>과학 공통·융합</x:v>
      </x:c>
      <x:c r="H10" s="3" t="str">
        <x:v>통합과학1</x:v>
      </x:c>
      <x:c r="I10" s="48" t="n">
        <x:v>4</x:v>
      </x:c>
      <x:c r="J10" s="48" t="n">
        <x:v>12</x:v>
      </x:c>
      <x:c r="K10" s="48" t="n">
        <x:f>I10*J10</x:f>
        <x:v>48</x:v>
      </x:c>
      <x:c r="L10" s="3" t="str">
        <x:v>학급 수 적용</x:v>
      </x:c>
      <x:c r="M10" s="3"/>
      <x:c r="N10" s="3" t="str">
        <x:v>① 2027 입학생 편제표 14행 / 학급 수 조건</x:v>
      </x:c>
    </x:row>
    <x:row r="11" ht="25" customHeight="1">
      <x:c r="A11" s="3"/>
      <x:c r="B11" s="18" t="n">
        <x:v>2027</x:v>
      </x:c>
      <x:c r="C11" s="18" t="n">
        <x:v>1</x:v>
      </x:c>
      <x:c r="D11" s="18" t="n">
        <x:v>1</x:v>
      </x:c>
      <x:c r="E11" s="18" t="n">
        <x:v>2027</x:v>
      </x:c>
      <x:c r="F11" s="3" t="str">
        <x:v>과학탐구실험</x:v>
      </x:c>
      <x:c r="G11" s="3" t="str">
        <x:v>과학 공통·융합</x:v>
      </x:c>
      <x:c r="H11" s="3" t="str">
        <x:v>과학탐구실험1</x:v>
      </x:c>
      <x:c r="I11" s="48" t="n">
        <x:v>1</x:v>
      </x:c>
      <x:c r="J11" s="48" t="n">
        <x:v>12</x:v>
      </x:c>
      <x:c r="K11" s="48" t="n">
        <x:f>I11*J11</x:f>
        <x:v>12</x:v>
      </x:c>
      <x:c r="L11" s="3" t="str">
        <x:v>학급 수 적용</x:v>
      </x:c>
      <x:c r="M11" s="3"/>
      <x:c r="N11" s="3" t="str">
        <x:v>① 2027 입학생 편제표 15행 / 학급 수 조건</x:v>
      </x:c>
    </x:row>
    <x:row r="12" ht="25" customHeight="1">
      <x:c r="A12" s="3"/>
      <x:c r="B12" s="18" t="n">
        <x:v>2027</x:v>
      </x:c>
      <x:c r="C12" s="18" t="n">
        <x:v>1</x:v>
      </x:c>
      <x:c r="D12" s="18" t="n">
        <x:v>2</x:v>
      </x:c>
      <x:c r="E12" s="18" t="n">
        <x:v>2026</x:v>
      </x:c>
      <x:c r="F12" s="3" t="str">
        <x:v>일반사회</x:v>
      </x:c>
      <x:c r="G12" s="3" t="str">
        <x:v>일반사회</x:v>
      </x:c>
      <x:c r="H12" s="3" t="str">
        <x:v>사회와 문화</x:v>
      </x:c>
      <x:c r="I12" s="48" t="n">
        <x:v>3</x:v>
      </x:c>
      <x:c r="J12" s="48" t="n">
        <x:v>8</x:v>
      </x:c>
      <x:c r="K12" s="48" t="n">
        <x:f>I12*J12</x:f>
        <x:v>24</x:v>
      </x:c>
      <x:c r="L12" s="3" t="str">
        <x:v>최종 선택자료 반영</x:v>
      </x:c>
      <x:c r="M12" s="3"/>
      <x:c r="N12" s="3" t="str">
        <x:v>① 2026 입학생 편제표 24행 / ② 1학년=&gt;2학년!X9</x:v>
      </x:c>
    </x:row>
    <x:row r="13" ht="25" customHeight="1">
      <x:c r="A13" s="3"/>
      <x:c r="B13" s="18" t="n">
        <x:v>2027</x:v>
      </x:c>
      <x:c r="C13" s="18" t="n">
        <x:v>1</x:v>
      </x:c>
      <x:c r="D13" s="18" t="n">
        <x:v>2</x:v>
      </x:c>
      <x:c r="E13" s="18" t="n">
        <x:v>2026</x:v>
      </x:c>
      <x:c r="F13" s="3" t="str">
        <x:v>역사</x:v>
      </x:c>
      <x:c r="G13" s="3" t="str">
        <x:v>역사</x:v>
      </x:c>
      <x:c r="H13" s="3" t="str">
        <x:v>세계사</x:v>
      </x:c>
      <x:c r="I13" s="48" t="n">
        <x:v>3</x:v>
      </x:c>
      <x:c r="J13" s="48" t="n">
        <x:v>4</x:v>
      </x:c>
      <x:c r="K13" s="48" t="n">
        <x:f>I13*J13</x:f>
        <x:v>12</x:v>
      </x:c>
      <x:c r="L13" s="3" t="str">
        <x:v>최종 선택자료 반영</x:v>
      </x:c>
      <x:c r="M13" s="3"/>
      <x:c r="N13" s="3" t="str">
        <x:v>① 2026 입학생 편제표 24행 / ② 1학년=&gt;2학년!X8</x:v>
      </x:c>
    </x:row>
    <x:row r="14" ht="25" customHeight="1">
      <x:c r="A14" s="3"/>
      <x:c r="B14" s="18" t="n">
        <x:v>2027</x:v>
      </x:c>
      <x:c r="C14" s="18" t="n">
        <x:v>1</x:v>
      </x:c>
      <x:c r="D14" s="18" t="n">
        <x:v>2</x:v>
      </x:c>
      <x:c r="E14" s="18" t="n">
        <x:v>2026</x:v>
      </x:c>
      <x:c r="F14" s="3" t="str">
        <x:v>지리</x:v>
      </x:c>
      <x:c r="G14" s="3" t="str">
        <x:v>지리</x:v>
      </x:c>
      <x:c r="H14" s="3" t="str">
        <x:v>세계시민과 지리</x:v>
      </x:c>
      <x:c r="I14" s="48" t="n">
        <x:v>3</x:v>
      </x:c>
      <x:c r="J14" s="48" t="n">
        <x:v>3</x:v>
      </x:c>
      <x:c r="K14" s="48" t="n">
        <x:f>I14*J14</x:f>
        <x:v>9</x:v>
      </x:c>
      <x:c r="L14" s="3" t="str">
        <x:v>최종 선택자료 반영</x:v>
      </x:c>
      <x:c r="M14" s="3"/>
      <x:c r="N14" s="3" t="str">
        <x:v>① 2026 입학생 편제표 24행 / ② 1학년=&gt;2학년!X7</x:v>
      </x:c>
    </x:row>
    <x:row r="15" ht="25" customHeight="1">
      <x:c r="A15" s="3"/>
      <x:c r="B15" s="18" t="n">
        <x:v>2027</x:v>
      </x:c>
      <x:c r="C15" s="18" t="n">
        <x:v>1</x:v>
      </x:c>
      <x:c r="D15" s="18" t="n">
        <x:v>2</x:v>
      </x:c>
      <x:c r="E15" s="18" t="n">
        <x:v>2026</x:v>
      </x:c>
      <x:c r="F15" s="3" t="str">
        <x:v>윤리</x:v>
      </x:c>
      <x:c r="G15" s="3" t="str">
        <x:v>윤리</x:v>
      </x:c>
      <x:c r="H15" s="3" t="str">
        <x:v>현대사회와 윤리</x:v>
      </x:c>
      <x:c r="I15" s="48" t="n">
        <x:v>3</x:v>
      </x:c>
      <x:c r="J15" s="48" t="n">
        <x:v>8</x:v>
      </x:c>
      <x:c r="K15" s="48" t="n">
        <x:f>I15*J15</x:f>
        <x:v>24</x:v>
      </x:c>
      <x:c r="L15" s="3" t="str">
        <x:v>최종 선택자료 반영</x:v>
      </x:c>
      <x:c r="M15" s="3"/>
      <x:c r="N15" s="3" t="str">
        <x:v>① 2026 입학생 편제표 24행 / ② 1학년=&gt;2학년!X10</x:v>
      </x:c>
    </x:row>
    <x:row r="16" ht="25" customHeight="1">
      <x:c r="A16" s="3"/>
      <x:c r="B16" s="18" t="n">
        <x:v>2027</x:v>
      </x:c>
      <x:c r="C16" s="18" t="n">
        <x:v>1</x:v>
      </x:c>
      <x:c r="D16" s="18" t="n">
        <x:v>2</x:v>
      </x:c>
      <x:c r="E16" s="18" t="n">
        <x:v>2026</x:v>
      </x:c>
      <x:c r="F16" s="3" t="str">
        <x:v>물리</x:v>
      </x:c>
      <x:c r="G16" s="3" t="str">
        <x:v>물리학</x:v>
      </x:c>
      <x:c r="H16" s="3" t="str">
        <x:v>물리학</x:v>
      </x:c>
      <x:c r="I16" s="48" t="n">
        <x:v>3</x:v>
      </x:c>
      <x:c r="J16" s="48" t="n">
        <x:v>5</x:v>
      </x:c>
      <x:c r="K16" s="48" t="n">
        <x:f>I16*J16</x:f>
        <x:v>15</x:v>
      </x:c>
      <x:c r="L16" s="3" t="str">
        <x:v>최종 선택자료 반영</x:v>
      </x:c>
      <x:c r="M16" s="3"/>
      <x:c r="N16" s="3" t="str">
        <x:v>① 2026 입학생 편제표 25행 / ② 1학년=&gt;2학년!X11</x:v>
      </x:c>
    </x:row>
    <x:row r="17" ht="25" customHeight="1">
      <x:c r="A17" s="3"/>
      <x:c r="B17" s="18" t="n">
        <x:v>2027</x:v>
      </x:c>
      <x:c r="C17" s="18" t="n">
        <x:v>1</x:v>
      </x:c>
      <x:c r="D17" s="18" t="n">
        <x:v>2</x:v>
      </x:c>
      <x:c r="E17" s="18" t="n">
        <x:v>2026</x:v>
      </x:c>
      <x:c r="F17" s="3" t="str">
        <x:v>지구과학</x:v>
      </x:c>
      <x:c r="G17" s="3" t="str">
        <x:v>지구과학</x:v>
      </x:c>
      <x:c r="H17" s="3" t="str">
        <x:v>지구과학</x:v>
      </x:c>
      <x:c r="I17" s="48" t="n">
        <x:v>3</x:v>
      </x:c>
      <x:c r="J17" s="48" t="n">
        <x:v>5</x:v>
      </x:c>
      <x:c r="K17" s="48" t="n">
        <x:f>I17*J17</x:f>
        <x:v>15</x:v>
      </x:c>
      <x:c r="L17" s="3" t="str">
        <x:v>최종 선택자료 반영</x:v>
      </x:c>
      <x:c r="M17" s="3"/>
      <x:c r="N17" s="3" t="str">
        <x:v>① 2026 입학생 편제표 25행 / ② 1학년=&gt;2학년!X13</x:v>
      </x:c>
    </x:row>
    <x:row r="18" ht="25" customHeight="1">
      <x:c r="A18" s="3"/>
      <x:c r="B18" s="18" t="n">
        <x:v>2027</x:v>
      </x:c>
      <x:c r="C18" s="18" t="n">
        <x:v>1</x:v>
      </x:c>
      <x:c r="D18" s="18" t="n">
        <x:v>2</x:v>
      </x:c>
      <x:c r="E18" s="18" t="n">
        <x:v>2026</x:v>
      </x:c>
      <x:c r="F18" s="3" t="str">
        <x:v>화학</x:v>
      </x:c>
      <x:c r="G18" s="3" t="str">
        <x:v>화학</x:v>
      </x:c>
      <x:c r="H18" s="3" t="str">
        <x:v>화학</x:v>
      </x:c>
      <x:c r="I18" s="48" t="n">
        <x:v>3</x:v>
      </x:c>
      <x:c r="J18" s="48" t="n">
        <x:v>6</x:v>
      </x:c>
      <x:c r="K18" s="48" t="n">
        <x:f>I18*J18</x:f>
        <x:v>18</x:v>
      </x:c>
      <x:c r="L18" s="3" t="str">
        <x:v>최종 선택자료 반영</x:v>
      </x:c>
      <x:c r="M18" s="3"/>
      <x:c r="N18" s="3" t="str">
        <x:v>① 2026 입학생 편제표 25행 / ② 1학년=&gt;2학년!X12</x:v>
      </x:c>
    </x:row>
    <x:row r="19" ht="25" customHeight="1">
      <x:c r="A19" s="3"/>
      <x:c r="B19" s="18" t="n">
        <x:v>2027</x:v>
      </x:c>
      <x:c r="C19" s="18" t="n">
        <x:v>1</x:v>
      </x:c>
      <x:c r="D19" s="18" t="n">
        <x:v>3</x:v>
      </x:c>
      <x:c r="E19" s="18" t="n">
        <x:v>2025</x:v>
      </x:c>
      <x:c r="F19" s="3" t="str">
        <x:v>일반사회</x:v>
      </x:c>
      <x:c r="G19" s="3" t="str">
        <x:v>일반사회</x:v>
      </x:c>
      <x:c r="H19" s="3" t="str">
        <x:v>경제</x:v>
      </x:c>
      <x:c r="I19" s="48" t="n">
        <x:v>3</x:v>
      </x:c>
      <x:c r="J19" s="48" t="n">
        <x:v>0</x:v>
      </x:c>
      <x:c r="K19" s="48" t="n">
        <x:f>I19*J19</x:f>
        <x:v>0</x:v>
      </x:c>
      <x:c r="L19" s="3" t="str">
        <x:v>최종 선택자료 반영</x:v>
      </x:c>
      <x:c r="M19" s="3"/>
      <x:c r="N19" s="3" t="str">
        <x:v>① 2025 입학생 편제표 35행 / ② 2학년=&gt;3학년!X8</x:v>
      </x:c>
    </x:row>
    <x:row r="20" ht="25" customHeight="1">
      <x:c r="A20" s="3"/>
      <x:c r="B20" s="18" t="n">
        <x:v>2027</x:v>
      </x:c>
      <x:c r="C20" s="18" t="n">
        <x:v>1</x:v>
      </x:c>
      <x:c r="D20" s="18" t="n">
        <x:v>3</x:v>
      </x:c>
      <x:c r="E20" s="18" t="n">
        <x:v>2025</x:v>
      </x:c>
      <x:c r="F20" s="3" t="str">
        <x:v>일반사회</x:v>
      </x:c>
      <x:c r="G20" s="3" t="str">
        <x:v>일반사회</x:v>
      </x:c>
      <x:c r="H20" s="3" t="str">
        <x:v>국제 관계의 이해</x:v>
      </x:c>
      <x:c r="I20" s="48" t="n">
        <x:v>3</x:v>
      </x:c>
      <x:c r="J20" s="48" t="n">
        <x:v>5</x:v>
      </x:c>
      <x:c r="K20" s="48" t="n">
        <x:f>I20*J20</x:f>
        <x:v>15</x:v>
      </x:c>
      <x:c r="L20" s="3" t="str">
        <x:v>최종 선택자료 반영</x:v>
      </x:c>
      <x:c r="M20" s="3"/>
      <x:c r="N20" s="3" t="str">
        <x:v>① 2025 입학생 편제표 35행 / ② 2학년=&gt;3학년!X11</x:v>
      </x:c>
    </x:row>
    <x:row r="21" ht="25" customHeight="1">
      <x:c r="A21" s="3"/>
      <x:c r="B21" s="18" t="n">
        <x:v>2027</x:v>
      </x:c>
      <x:c r="C21" s="18" t="n">
        <x:v>1</x:v>
      </x:c>
      <x:c r="D21" s="18" t="n">
        <x:v>3</x:v>
      </x:c>
      <x:c r="E21" s="18" t="n">
        <x:v>2025</x:v>
      </x:c>
      <x:c r="F21" s="3" t="str">
        <x:v>지리</x:v>
      </x:c>
      <x:c r="G21" s="3" t="str">
        <x:v>지리</x:v>
      </x:c>
      <x:c r="H21" s="3" t="str">
        <x:v>도시의 미래 탐구</x:v>
      </x:c>
      <x:c r="I21" s="48" t="n">
        <x:v>3</x:v>
      </x:c>
      <x:c r="J21" s="48" t="n">
        <x:v>5</x:v>
      </x:c>
      <x:c r="K21" s="48" t="n">
        <x:f>I21*J21</x:f>
        <x:v>15</x:v>
      </x:c>
      <x:c r="L21" s="3" t="str">
        <x:v>최종 선택자료 반영</x:v>
      </x:c>
      <x:c r="M21" s="3"/>
      <x:c r="N21" s="3" t="str">
        <x:v>① 2025 입학생 편제표 35행 / ② 2학년=&gt;3학년!X7</x:v>
      </x:c>
    </x:row>
    <x:row r="22" ht="25" customHeight="1">
      <x:c r="A22" s="3"/>
      <x:c r="B22" s="18" t="n">
        <x:v>2027</x:v>
      </x:c>
      <x:c r="C22" s="18" t="n">
        <x:v>1</x:v>
      </x:c>
      <x:c r="D22" s="18" t="n">
        <x:v>3</x:v>
      </x:c>
      <x:c r="E22" s="18" t="n">
        <x:v>2025</x:v>
      </x:c>
      <x:c r="F22" s="3" t="str">
        <x:v>윤리</x:v>
      </x:c>
      <x:c r="G22" s="3" t="str">
        <x:v>윤리</x:v>
      </x:c>
      <x:c r="H22" s="3" t="str">
        <x:v>윤리와 사상</x:v>
      </x:c>
      <x:c r="I22" s="48" t="n">
        <x:v>3</x:v>
      </x:c>
      <x:c r="J22" s="48" t="n">
        <x:v>0</x:v>
      </x:c>
      <x:c r="K22" s="48" t="n">
        <x:f>I22*J22</x:f>
        <x:v>0</x:v>
      </x:c>
      <x:c r="L22" s="3" t="str">
        <x:v>최종 선택자료 반영</x:v>
      </x:c>
      <x:c r="M22" s="3"/>
      <x:c r="N22" s="3" t="str">
        <x:v>① 2025 입학생 편제표 35행 / ② 2학년=&gt;3학년!X9</x:v>
      </x:c>
    </x:row>
    <x:row r="23" ht="25" customHeight="1">
      <x:c r="A23" s="3"/>
      <x:c r="B23" s="18" t="n">
        <x:v>2027</x:v>
      </x:c>
      <x:c r="C23" s="18" t="n">
        <x:v>1</x:v>
      </x:c>
      <x:c r="D23" s="18" t="n">
        <x:v>3</x:v>
      </x:c>
      <x:c r="E23" s="18" t="n">
        <x:v>2025</x:v>
      </x:c>
      <x:c r="F23" s="3" t="str">
        <x:v>윤리</x:v>
      </x:c>
      <x:c r="G23" s="3" t="str">
        <x:v>윤리</x:v>
      </x:c>
      <x:c r="H23" s="3" t="str">
        <x:v>인문학과 윤리</x:v>
      </x:c>
      <x:c r="I23" s="48" t="n">
        <x:v>3</x:v>
      </x:c>
      <x:c r="J23" s="48" t="n">
        <x:v>3</x:v>
      </x:c>
      <x:c r="K23" s="48" t="n">
        <x:f>I23*J23</x:f>
        <x:v>9</x:v>
      </x:c>
      <x:c r="L23" s="3" t="str">
        <x:v>최종 선택자료 반영</x:v>
      </x:c>
      <x:c r="M23" s="3"/>
      <x:c r="N23" s="3" t="str">
        <x:v>① 2025 입학생 편제표 35행 / ② 2학년=&gt;3학년!X10</x:v>
      </x:c>
    </x:row>
    <x:row r="24" ht="25" customHeight="1">
      <x:c r="A24" s="3"/>
      <x:c r="B24" s="18" t="n">
        <x:v>2027</x:v>
      </x:c>
      <x:c r="C24" s="18" t="n">
        <x:v>1</x:v>
      </x:c>
      <x:c r="D24" s="18" t="n">
        <x:v>3</x:v>
      </x:c>
      <x:c r="E24" s="18" t="n">
        <x:v>2025</x:v>
      </x:c>
      <x:c r="F24" s="3" t="str">
        <x:v>사회 융합</x:v>
      </x:c>
      <x:c r="G24" s="3" t="str">
        <x:v>일반사회</x:v>
      </x:c>
      <x:c r="H24" s="3" t="str">
        <x:v>금융과 경제생활</x:v>
      </x:c>
      <x:c r="I24" s="48" t="n">
        <x:v>3</x:v>
      </x:c>
      <x:c r="J24" s="48" t="n">
        <x:v>1</x:v>
      </x:c>
      <x:c r="K24" s="48" t="n">
        <x:f>I24*J24</x:f>
        <x:v>3</x:v>
      </x:c>
      <x:c r="L24" s="3" t="str">
        <x:v>최종 선택자료 반영</x:v>
      </x:c>
      <x:c r="M24" s="3"/>
      <x:c r="N24" s="3" t="str">
        <x:v>① 2025 입학생 편제표 36행 / ② 2학년=&gt;3학년!X15</x:v>
      </x:c>
    </x:row>
    <x:row r="25" ht="25" customHeight="1">
      <x:c r="A25" s="3"/>
      <x:c r="B25" s="18" t="n">
        <x:v>2027</x:v>
      </x:c>
      <x:c r="C25" s="18" t="n">
        <x:v>1</x:v>
      </x:c>
      <x:c r="D25" s="18" t="n">
        <x:v>3</x:v>
      </x:c>
      <x:c r="E25" s="18" t="n">
        <x:v>2025</x:v>
      </x:c>
      <x:c r="F25" s="3" t="str">
        <x:v>사회 융합</x:v>
      </x:c>
      <x:c r="G25" s="3" t="str">
        <x:v>지리</x:v>
      </x:c>
      <x:c r="H25" s="3" t="str">
        <x:v>기후변화와 지속가능한 세계</x:v>
      </x:c>
      <x:c r="I25" s="48" t="n">
        <x:v>3</x:v>
      </x:c>
      <x:c r="J25" s="48" t="n">
        <x:v>2</x:v>
      </x:c>
      <x:c r="K25" s="48" t="n">
        <x:f>I25*J25</x:f>
        <x:v>6</x:v>
      </x:c>
      <x:c r="L25" s="3" t="str">
        <x:v>최종 선택자료 반영</x:v>
      </x:c>
      <x:c r="M25" s="3"/>
      <x:c r="N25" s="3" t="str">
        <x:v>① 2025 입학생 편제표 36행 / ② 2학년=&gt;3학년!X17</x:v>
      </x:c>
    </x:row>
    <x:row r="26" ht="25" customHeight="1">
      <x:c r="A26" s="3"/>
      <x:c r="B26" s="18" t="n">
        <x:v>2027</x:v>
      </x:c>
      <x:c r="C26" s="18" t="n">
        <x:v>1</x:v>
      </x:c>
      <x:c r="D26" s="18" t="n">
        <x:v>3</x:v>
      </x:c>
      <x:c r="E26" s="18" t="n">
        <x:v>2025</x:v>
      </x:c>
      <x:c r="F26" s="3" t="str">
        <x:v>사회 융합</x:v>
      </x:c>
      <x:c r="G26" s="3" t="str">
        <x:v>일반사회</x:v>
      </x:c>
      <x:c r="H26" s="3" t="str">
        <x:v>사회문제 탐구</x:v>
      </x:c>
      <x:c r="I26" s="48" t="n">
        <x:v>3</x:v>
      </x:c>
      <x:c r="J26" s="48" t="n">
        <x:v>2</x:v>
      </x:c>
      <x:c r="K26" s="48" t="n">
        <x:f>I26*J26</x:f>
        <x:v>6</x:v>
      </x:c>
      <x:c r="L26" s="3" t="str">
        <x:v>최종 선택자료 반영</x:v>
      </x:c>
      <x:c r="M26" s="3"/>
      <x:c r="N26" s="3" t="str">
        <x:v>① 2025 입학생 편제표 36행 / ② 2학년=&gt;3학년!X14</x:v>
      </x:c>
    </x:row>
    <x:row r="27" ht="25" customHeight="1">
      <x:c r="A27" s="3"/>
      <x:c r="B27" s="18" t="n">
        <x:v>2027</x:v>
      </x:c>
      <x:c r="C27" s="18" t="n">
        <x:v>1</x:v>
      </x:c>
      <x:c r="D27" s="18" t="n">
        <x:v>3</x:v>
      </x:c>
      <x:c r="E27" s="18" t="n">
        <x:v>2025</x:v>
      </x:c>
      <x:c r="F27" s="3" t="str">
        <x:v>사회 융합</x:v>
      </x:c>
      <x:c r="G27" s="3" t="str">
        <x:v>지리</x:v>
      </x:c>
      <x:c r="H27" s="3" t="str">
        <x:v>여행지리</x:v>
      </x:c>
      <x:c r="I27" s="48" t="n">
        <x:v>3</x:v>
      </x:c>
      <x:c r="J27" s="48" t="n">
        <x:v>0</x:v>
      </x:c>
      <x:c r="K27" s="48" t="n">
        <x:f>I27*J27</x:f>
        <x:v>0</x:v>
      </x:c>
      <x:c r="L27" s="3" t="str">
        <x:v>최종 선택자료 반영</x:v>
      </x:c>
      <x:c r="M27" s="3"/>
      <x:c r="N27" s="3" t="str">
        <x:v>① 2025 입학생 편제표 36행 / ② 2학년=&gt;3학년!X12</x:v>
      </x:c>
    </x:row>
    <x:row r="28" ht="25" customHeight="1">
      <x:c r="A28" s="3"/>
      <x:c r="B28" s="18" t="n">
        <x:v>2027</x:v>
      </x:c>
      <x:c r="C28" s="18" t="n">
        <x:v>1</x:v>
      </x:c>
      <x:c r="D28" s="18" t="n">
        <x:v>3</x:v>
      </x:c>
      <x:c r="E28" s="18" t="n">
        <x:v>2025</x:v>
      </x:c>
      <x:c r="F28" s="3" t="str">
        <x:v>사회 융합</x:v>
      </x:c>
      <x:c r="G28" s="3" t="str">
        <x:v>역사</x:v>
      </x:c>
      <x:c r="H28" s="3" t="str">
        <x:v>역사로 탐구하는 현대 세계</x:v>
      </x:c>
      <x:c r="I28" s="48" t="n">
        <x:v>3</x:v>
      </x:c>
      <x:c r="J28" s="48" t="n">
        <x:v>4</x:v>
      </x:c>
      <x:c r="K28" s="48" t="n">
        <x:f>I28*J28</x:f>
        <x:v>12</x:v>
      </x:c>
      <x:c r="L28" s="3" t="str">
        <x:v>최종 선택자료 반영</x:v>
      </x:c>
      <x:c r="M28" s="3"/>
      <x:c r="N28" s="3" t="str">
        <x:v>① 2025 입학생 편제표 36행 / ② 2학년=&gt;3학년!X13</x:v>
      </x:c>
    </x:row>
    <x:row r="29" ht="25" customHeight="1">
      <x:c r="A29" s="3"/>
      <x:c r="B29" s="18" t="n">
        <x:v>2027</x:v>
      </x:c>
      <x:c r="C29" s="18" t="n">
        <x:v>1</x:v>
      </x:c>
      <x:c r="D29" s="18" t="n">
        <x:v>3</x:v>
      </x:c>
      <x:c r="E29" s="18" t="n">
        <x:v>2025</x:v>
      </x:c>
      <x:c r="F29" s="3" t="str">
        <x:v>사회 융합</x:v>
      </x:c>
      <x:c r="G29" s="3" t="str">
        <x:v>윤리</x:v>
      </x:c>
      <x:c r="H29" s="3" t="str">
        <x:v>윤리문제 탐구</x:v>
      </x:c>
      <x:c r="I29" s="48" t="n">
        <x:v>3</x:v>
      </x:c>
      <x:c r="J29" s="48" t="n">
        <x:v>3</x:v>
      </x:c>
      <x:c r="K29" s="48" t="n">
        <x:f>I29*J29</x:f>
        <x:v>9</x:v>
      </x:c>
      <x:c r="L29" s="3" t="str">
        <x:v>최종 선택자료 반영</x:v>
      </x:c>
      <x:c r="M29" s="3"/>
      <x:c r="N29" s="3" t="str">
        <x:v>① 2025 입학생 편제표 36행 / ② 2학년=&gt;3학년!X16</x:v>
      </x:c>
    </x:row>
    <x:row r="30" ht="25" customHeight="1">
      <x:c r="A30" s="3"/>
      <x:c r="B30" s="18" t="n">
        <x:v>2027</x:v>
      </x:c>
      <x:c r="C30" s="18" t="n">
        <x:v>1</x:v>
      </x:c>
      <x:c r="D30" s="18" t="n">
        <x:v>3</x:v>
      </x:c>
      <x:c r="E30" s="18" t="n">
        <x:v>2025</x:v>
      </x:c>
      <x:c r="F30" s="3" t="str">
        <x:v>화학</x:v>
      </x:c>
      <x:c r="G30" s="3" t="str">
        <x:v>화학</x:v>
      </x:c>
      <x:c r="H30" s="3" t="str">
        <x:v>물질과 에너지</x:v>
      </x:c>
      <x:c r="I30" s="48" t="n">
        <x:v>3</x:v>
      </x:c>
      <x:c r="J30" s="48" t="n">
        <x:v>6</x:v>
      </x:c>
      <x:c r="K30" s="48" t="n">
        <x:f>I30*J30</x:f>
        <x:v>18</x:v>
      </x:c>
      <x:c r="L30" s="3" t="str">
        <x:v>최종 선택자료 반영</x:v>
      </x:c>
      <x:c r="M30" s="3"/>
      <x:c r="N30" s="3" t="str">
        <x:v>① 2025 입학생 편제표 37행 / ② 2학년=&gt;3학년!X20</x:v>
      </x:c>
    </x:row>
    <x:row r="31" ht="25" customHeight="1">
      <x:c r="A31" s="3"/>
      <x:c r="B31" s="18" t="n">
        <x:v>2027</x:v>
      </x:c>
      <x:c r="C31" s="18" t="n">
        <x:v>1</x:v>
      </x:c>
      <x:c r="D31" s="18" t="n">
        <x:v>3</x:v>
      </x:c>
      <x:c r="E31" s="18" t="n">
        <x:v>2025</x:v>
      </x:c>
      <x:c r="F31" s="3" t="str">
        <x:v>생물</x:v>
      </x:c>
      <x:c r="G31" s="3" t="str">
        <x:v>생명과학</x:v>
      </x:c>
      <x:c r="H31" s="3" t="str">
        <x:v>생물의 유전</x:v>
      </x:c>
      <x:c r="I31" s="48" t="n">
        <x:v>3</x:v>
      </x:c>
      <x:c r="J31" s="48" t="n">
        <x:v>5</x:v>
      </x:c>
      <x:c r="K31" s="48" t="n">
        <x:f>I31*J31</x:f>
        <x:v>15</x:v>
      </x:c>
      <x:c r="L31" s="3" t="str">
        <x:v>최종 선택자료 반영</x:v>
      </x:c>
      <x:c r="M31" s="3"/>
      <x:c r="N31" s="3" t="str">
        <x:v>① 2025 입학생 편제표 37행 / ② 2학년=&gt;3학년!X23</x:v>
      </x:c>
    </x:row>
    <x:row r="32" ht="25" customHeight="1">
      <x:c r="A32" s="3"/>
      <x:c r="B32" s="18" t="n">
        <x:v>2027</x:v>
      </x:c>
      <x:c r="C32" s="18" t="n">
        <x:v>1</x:v>
      </x:c>
      <x:c r="D32" s="18" t="n">
        <x:v>3</x:v>
      </x:c>
      <x:c r="E32" s="18" t="n">
        <x:v>2025</x:v>
      </x:c>
      <x:c r="F32" s="3" t="str">
        <x:v>생물</x:v>
      </x:c>
      <x:c r="G32" s="3" t="str">
        <x:v>생명과학</x:v>
      </x:c>
      <x:c r="H32" s="3" t="str">
        <x:v>세포와 물질대사</x:v>
      </x:c>
      <x:c r="I32" s="48" t="n">
        <x:v>3</x:v>
      </x:c>
      <x:c r="J32" s="48" t="n">
        <x:v>5</x:v>
      </x:c>
      <x:c r="K32" s="48" t="n">
        <x:f>I32*J32</x:f>
        <x:v>15</x:v>
      </x:c>
      <x:c r="L32" s="3" t="str">
        <x:v>최종 선택자료 반영</x:v>
      </x:c>
      <x:c r="M32" s="3"/>
      <x:c r="N32" s="3" t="str">
        <x:v>① 2025 입학생 편제표 37행 / ② 2학년=&gt;3학년!X22</x:v>
      </x:c>
    </x:row>
    <x:row r="33" ht="25" customHeight="1">
      <x:c r="A33" s="3"/>
      <x:c r="B33" s="18" t="n">
        <x:v>2027</x:v>
      </x:c>
      <x:c r="C33" s="18" t="n">
        <x:v>1</x:v>
      </x:c>
      <x:c r="D33" s="18" t="n">
        <x:v>3</x:v>
      </x:c>
      <x:c r="E33" s="18" t="n">
        <x:v>2025</x:v>
      </x:c>
      <x:c r="F33" s="3" t="str">
        <x:v>물리</x:v>
      </x:c>
      <x:c r="G33" s="3" t="str">
        <x:v>물리학</x:v>
      </x:c>
      <x:c r="H33" s="3" t="str">
        <x:v>역학과 에너지</x:v>
      </x:c>
      <x:c r="I33" s="48" t="n">
        <x:v>3</x:v>
      </x:c>
      <x:c r="J33" s="48" t="n">
        <x:v>2</x:v>
      </x:c>
      <x:c r="K33" s="48" t="n">
        <x:f>I33*J33</x:f>
        <x:v>6</x:v>
      </x:c>
      <x:c r="L33" s="3" t="str">
        <x:v>최종 선택자료 반영</x:v>
      </x:c>
      <x:c r="M33" s="3"/>
      <x:c r="N33" s="3" t="str">
        <x:v>① 2025 입학생 편제표 37행 / ② 2학년=&gt;3학년!X18</x:v>
      </x:c>
    </x:row>
    <x:row r="34" ht="25" customHeight="1">
      <x:c r="A34" s="3"/>
      <x:c r="B34" s="18" t="n">
        <x:v>2027</x:v>
      </x:c>
      <x:c r="C34" s="18" t="n">
        <x:v>1</x:v>
      </x:c>
      <x:c r="D34" s="18" t="n">
        <x:v>3</x:v>
      </x:c>
      <x:c r="E34" s="18" t="n">
        <x:v>2025</x:v>
      </x:c>
      <x:c r="F34" s="3" t="str">
        <x:v>물리</x:v>
      </x:c>
      <x:c r="G34" s="3" t="str">
        <x:v>물리학</x:v>
      </x:c>
      <x:c r="H34" s="3" t="str">
        <x:v>전자기와 양자</x:v>
      </x:c>
      <x:c r="I34" s="48" t="n">
        <x:v>3</x:v>
      </x:c>
      <x:c r="J34" s="48" t="n">
        <x:v>2</x:v>
      </x:c>
      <x:c r="K34" s="48" t="n">
        <x:f>I34*J34</x:f>
        <x:v>6</x:v>
      </x:c>
      <x:c r="L34" s="3" t="str">
        <x:v>최종 선택자료 반영</x:v>
      </x:c>
      <x:c r="M34" s="3"/>
      <x:c r="N34" s="3" t="str">
        <x:v>① 2025 입학생 편제표 37행 / ② 2학년=&gt;3학년!X19</x:v>
      </x:c>
    </x:row>
    <x:row r="35" ht="25" customHeight="1">
      <x:c r="A35" s="3"/>
      <x:c r="B35" s="18" t="n">
        <x:v>2027</x:v>
      </x:c>
      <x:c r="C35" s="18" t="n">
        <x:v>1</x:v>
      </x:c>
      <x:c r="D35" s="18" t="n">
        <x:v>3</x:v>
      </x:c>
      <x:c r="E35" s="18" t="n">
        <x:v>2025</x:v>
      </x:c>
      <x:c r="F35" s="3" t="str">
        <x:v>지구과학</x:v>
      </x:c>
      <x:c r="G35" s="3" t="str">
        <x:v>지구과학</x:v>
      </x:c>
      <x:c r="H35" s="3" t="str">
        <x:v>지구시스템과학</x:v>
      </x:c>
      <x:c r="I35" s="48" t="n">
        <x:v>3</x:v>
      </x:c>
      <x:c r="J35" s="48" t="n">
        <x:v>0</x:v>
      </x:c>
      <x:c r="K35" s="48" t="n">
        <x:f>I35*J35</x:f>
        <x:v>0</x:v>
      </x:c>
      <x:c r="L35" s="3" t="str">
        <x:v>최종 선택자료 반영</x:v>
      </x:c>
      <x:c r="M35" s="3"/>
      <x:c r="N35" s="3" t="str">
        <x:v>① 2025 입학생 편제표 37행 / ② 2학년=&gt;3학년!X24</x:v>
      </x:c>
    </x:row>
    <x:row r="36" ht="25" customHeight="1">
      <x:c r="A36" s="3"/>
      <x:c r="B36" s="18" t="n">
        <x:v>2027</x:v>
      </x:c>
      <x:c r="C36" s="18" t="n">
        <x:v>1</x:v>
      </x:c>
      <x:c r="D36" s="18" t="n">
        <x:v>3</x:v>
      </x:c>
      <x:c r="E36" s="18" t="n">
        <x:v>2025</x:v>
      </x:c>
      <x:c r="F36" s="3" t="str">
        <x:v>지구과학</x:v>
      </x:c>
      <x:c r="G36" s="3" t="str">
        <x:v>지구과학</x:v>
      </x:c>
      <x:c r="H36" s="3" t="str">
        <x:v>행성우주과학</x:v>
      </x:c>
      <x:c r="I36" s="48" t="n">
        <x:v>3</x:v>
      </x:c>
      <x:c r="J36" s="48" t="n">
        <x:v>0</x:v>
      </x:c>
      <x:c r="K36" s="48" t="n">
        <x:f>I36*J36</x:f>
        <x:v>0</x:v>
      </x:c>
      <x:c r="L36" s="3" t="str">
        <x:v>최종 선택자료 반영</x:v>
      </x:c>
      <x:c r="M36" s="3"/>
      <x:c r="N36" s="3" t="str">
        <x:v>① 2025 입학생 편제표 37행 / ② 2학년=&gt;3학년!X25</x:v>
      </x:c>
    </x:row>
    <x:row r="37" ht="25" customHeight="1">
      <x:c r="A37" s="3"/>
      <x:c r="B37" s="18" t="n">
        <x:v>2027</x:v>
      </x:c>
      <x:c r="C37" s="18" t="n">
        <x:v>1</x:v>
      </x:c>
      <x:c r="D37" s="18" t="n">
        <x:v>3</x:v>
      </x:c>
      <x:c r="E37" s="18" t="n">
        <x:v>2025</x:v>
      </x:c>
      <x:c r="F37" s="3" t="str">
        <x:v>화학</x:v>
      </x:c>
      <x:c r="G37" s="3" t="str">
        <x:v>화학</x:v>
      </x:c>
      <x:c r="H37" s="3" t="str">
        <x:v>화학 반응의 세계</x:v>
      </x:c>
      <x:c r="I37" s="48" t="n">
        <x:v>3</x:v>
      </x:c>
      <x:c r="J37" s="48" t="n">
        <x:v>7</x:v>
      </x:c>
      <x:c r="K37" s="48" t="n">
        <x:f>I37*J37</x:f>
        <x:v>21</x:v>
      </x:c>
      <x:c r="L37" s="3" t="str">
        <x:v>최종 선택자료 반영</x:v>
      </x:c>
      <x:c r="M37" s="3"/>
      <x:c r="N37" s="3" t="str">
        <x:v>① 2025 입학생 편제표 37행 / ② 2학년=&gt;3학년!X21</x:v>
      </x:c>
    </x:row>
    <x:row r="38" ht="25" customHeight="1">
      <x:c r="A38" s="3"/>
      <x:c r="B38" s="18" t="n">
        <x:v>2027</x:v>
      </x:c>
      <x:c r="C38" s="18" t="n">
        <x:v>2</x:v>
      </x:c>
      <x:c r="D38" s="18" t="n">
        <x:v>1</x:v>
      </x:c>
      <x:c r="E38" s="18" t="n">
        <x:v>2027</x:v>
      </x:c>
      <x:c r="F38" s="3" t="str">
        <x:v>역사</x:v>
      </x:c>
      <x:c r="G38" s="3" t="str">
        <x:v>역사</x:v>
      </x:c>
      <x:c r="H38" s="3" t="str">
        <x:v>한국사2</x:v>
      </x:c>
      <x:c r="I38" s="48" t="n">
        <x:v>3</x:v>
      </x:c>
      <x:c r="J38" s="48" t="n">
        <x:v>12</x:v>
      </x:c>
      <x:c r="K38" s="48" t="n">
        <x:f>I38*J38</x:f>
        <x:v>36</x:v>
      </x:c>
      <x:c r="L38" s="3" t="str">
        <x:v>학급 수 적용</x:v>
      </x:c>
      <x:c r="M38" s="3"/>
      <x:c r="N38" s="3" t="str">
        <x:v>① 2027 입학생 편제표 12행 / 학급 수 조건</x:v>
      </x:c>
    </x:row>
    <x:row r="39" ht="25" customHeight="1">
      <x:c r="A39" s="3"/>
      <x:c r="B39" s="18" t="n">
        <x:v>2027</x:v>
      </x:c>
      <x:c r="C39" s="18" t="n">
        <x:v>2</x:v>
      </x:c>
      <x:c r="D39" s="18" t="n">
        <x:v>1</x:v>
      </x:c>
      <x:c r="E39" s="18" t="n">
        <x:v>2027</x:v>
      </x:c>
      <x:c r="F39" s="3" t="str">
        <x:v>통합사회</x:v>
      </x:c>
      <x:c r="G39" s="3" t="str">
        <x:v>사회 공통</x:v>
      </x:c>
      <x:c r="H39" s="3" t="str">
        <x:v>통합사회2</x:v>
      </x:c>
      <x:c r="I39" s="48" t="n">
        <x:v>4</x:v>
      </x:c>
      <x:c r="J39" s="48" t="n">
        <x:v>12</x:v>
      </x:c>
      <x:c r="K39" s="48" t="n">
        <x:f>I39*J39</x:f>
        <x:v>48</x:v>
      </x:c>
      <x:c r="L39" s="3" t="str">
        <x:v>학급 수 적용</x:v>
      </x:c>
      <x:c r="M39" s="3"/>
      <x:c r="N39" s="3" t="str">
        <x:v>① 2027 입학생 편제표 13행 / 학급 수 조건</x:v>
      </x:c>
    </x:row>
    <x:row r="40" ht="25" customHeight="1">
      <x:c r="A40" s="3"/>
      <x:c r="B40" s="18" t="n">
        <x:v>2027</x:v>
      </x:c>
      <x:c r="C40" s="18" t="n">
        <x:v>2</x:v>
      </x:c>
      <x:c r="D40" s="18" t="n">
        <x:v>1</x:v>
      </x:c>
      <x:c r="E40" s="18" t="n">
        <x:v>2027</x:v>
      </x:c>
      <x:c r="F40" s="3" t="str">
        <x:v>통합과학</x:v>
      </x:c>
      <x:c r="G40" s="3" t="str">
        <x:v>과학 공통·융합</x:v>
      </x:c>
      <x:c r="H40" s="3" t="str">
        <x:v>통합과학2</x:v>
      </x:c>
      <x:c r="I40" s="48" t="n">
        <x:v>4</x:v>
      </x:c>
      <x:c r="J40" s="48" t="n">
        <x:v>12</x:v>
      </x:c>
      <x:c r="K40" s="48" t="n">
        <x:f>I40*J40</x:f>
        <x:v>48</x:v>
      </x:c>
      <x:c r="L40" s="3" t="str">
        <x:v>학급 수 적용</x:v>
      </x:c>
      <x:c r="M40" s="3"/>
      <x:c r="N40" s="3" t="str">
        <x:v>① 2027 입학생 편제표 14행 / 학급 수 조건</x:v>
      </x:c>
    </x:row>
    <x:row r="41" ht="25" customHeight="1">
      <x:c r="A41" s="3"/>
      <x:c r="B41" s="18" t="n">
        <x:v>2027</x:v>
      </x:c>
      <x:c r="C41" s="18" t="n">
        <x:v>2</x:v>
      </x:c>
      <x:c r="D41" s="18" t="n">
        <x:v>1</x:v>
      </x:c>
      <x:c r="E41" s="18" t="n">
        <x:v>2027</x:v>
      </x:c>
      <x:c r="F41" s="3" t="str">
        <x:v>과학탐구실험</x:v>
      </x:c>
      <x:c r="G41" s="3" t="str">
        <x:v>과학 공통·융합</x:v>
      </x:c>
      <x:c r="H41" s="3" t="str">
        <x:v>과학탐구실험2</x:v>
      </x:c>
      <x:c r="I41" s="48" t="n">
        <x:v>1</x:v>
      </x:c>
      <x:c r="J41" s="48" t="n">
        <x:v>12</x:v>
      </x:c>
      <x:c r="K41" s="48" t="n">
        <x:f>I41*J41</x:f>
        <x:v>12</x:v>
      </x:c>
      <x:c r="L41" s="3" t="str">
        <x:v>학급 수 적용</x:v>
      </x:c>
      <x:c r="M41" s="3"/>
      <x:c r="N41" s="3" t="str">
        <x:v>① 2027 입학생 편제표 15행 / 학급 수 조건</x:v>
      </x:c>
    </x:row>
    <x:row r="42" ht="25" customHeight="1">
      <x:c r="A42" s="3"/>
      <x:c r="B42" s="18" t="n">
        <x:v>2027</x:v>
      </x:c>
      <x:c r="C42" s="18" t="n">
        <x:v>2</x:v>
      </x:c>
      <x:c r="D42" s="18" t="n">
        <x:v>2</x:v>
      </x:c>
      <x:c r="E42" s="18" t="n">
        <x:v>2026</x:v>
      </x:c>
      <x:c r="F42" s="3" t="str">
        <x:v>역사</x:v>
      </x:c>
      <x:c r="G42" s="3" t="str">
        <x:v>역사</x:v>
      </x:c>
      <x:c r="H42" s="3" t="str">
        <x:v>동아시아 역사 기행</x:v>
      </x:c>
      <x:c r="I42" s="48" t="n">
        <x:v>3</x:v>
      </x:c>
      <x:c r="J42" s="48" t="n">
        <x:v>2</x:v>
      </x:c>
      <x:c r="K42" s="48" t="n">
        <x:f>I42*J42</x:f>
        <x:v>6</x:v>
      </x:c>
      <x:c r="L42" s="3" t="str">
        <x:v>최종 선택자료 반영</x:v>
      </x:c>
      <x:c r="M42" s="3"/>
      <x:c r="N42" s="3" t="str">
        <x:v>① 2026 입학생 편제표 27행 / ② 1학년=&gt;2학년!X24</x:v>
      </x:c>
    </x:row>
    <x:row r="43" ht="25" customHeight="1">
      <x:c r="A43" s="3"/>
      <x:c r="B43" s="18" t="n">
        <x:v>2027</x:v>
      </x:c>
      <x:c r="C43" s="18" t="n">
        <x:v>2</x:v>
      </x:c>
      <x:c r="D43" s="18" t="n">
        <x:v>2</x:v>
      </x:c>
      <x:c r="E43" s="18" t="n">
        <x:v>2026</x:v>
      </x:c>
      <x:c r="F43" s="3" t="str">
        <x:v>일반사회</x:v>
      </x:c>
      <x:c r="G43" s="3" t="str">
        <x:v>일반사회</x:v>
      </x:c>
      <x:c r="H43" s="3" t="str">
        <x:v>법과 사회</x:v>
      </x:c>
      <x:c r="I43" s="48" t="n">
        <x:v>3</x:v>
      </x:c>
      <x:c r="J43" s="48" t="n">
        <x:v>5</x:v>
      </x:c>
      <x:c r="K43" s="48" t="n">
        <x:f>I43*J43</x:f>
        <x:v>15</x:v>
      </x:c>
      <x:c r="L43" s="3" t="str">
        <x:v>최종 선택자료 반영</x:v>
      </x:c>
      <x:c r="M43" s="3"/>
      <x:c r="N43" s="3" t="str">
        <x:v>① 2026 입학생 편제표 27행 / ② 1학년=&gt;2학년!X23</x:v>
      </x:c>
    </x:row>
    <x:row r="44" ht="25" customHeight="1">
      <x:c r="A44" s="3"/>
      <x:c r="B44" s="18" t="n">
        <x:v>2027</x:v>
      </x:c>
      <x:c r="C44" s="18" t="n">
        <x:v>2</x:v>
      </x:c>
      <x:c r="D44" s="18" t="n">
        <x:v>2</x:v>
      </x:c>
      <x:c r="E44" s="18" t="n">
        <x:v>2026</x:v>
      </x:c>
      <x:c r="F44" s="3" t="str">
        <x:v>윤리</x:v>
      </x:c>
      <x:c r="G44" s="3" t="str">
        <x:v>윤리</x:v>
      </x:c>
      <x:c r="H44" s="3" t="str">
        <x:v>윤리와 사상</x:v>
      </x:c>
      <x:c r="I44" s="48" t="n">
        <x:v>3</x:v>
      </x:c>
      <x:c r="J44" s="48" t="n">
        <x:v>9</x:v>
      </x:c>
      <x:c r="K44" s="48" t="n">
        <x:f>I44*J44</x:f>
        <x:v>27</x:v>
      </x:c>
      <x:c r="L44" s="3" t="str">
        <x:v>최종 선택자료 반영</x:v>
      </x:c>
      <x:c r="M44" s="3"/>
      <x:c r="N44" s="3" t="str">
        <x:v>① 2026 입학생 편제표 27행 / ② 1학년=&gt;2학년!X21</x:v>
      </x:c>
    </x:row>
    <x:row r="45" ht="25" customHeight="1">
      <x:c r="A45" s="3"/>
      <x:c r="B45" s="18" t="n">
        <x:v>2027</x:v>
      </x:c>
      <x:c r="C45" s="18" t="n">
        <x:v>2</x:v>
      </x:c>
      <x:c r="D45" s="18" t="n">
        <x:v>2</x:v>
      </x:c>
      <x:c r="E45" s="18" t="n">
        <x:v>2026</x:v>
      </x:c>
      <x:c r="F45" s="3" t="str">
        <x:v>일반사회</x:v>
      </x:c>
      <x:c r="G45" s="3" t="str">
        <x:v>일반사회</x:v>
      </x:c>
      <x:c r="H45" s="3" t="str">
        <x:v>정치</x:v>
      </x:c>
      <x:c r="I45" s="48" t="n">
        <x:v>3</x:v>
      </x:c>
      <x:c r="J45" s="48" t="n">
        <x:v>4</x:v>
      </x:c>
      <x:c r="K45" s="48" t="n">
        <x:f>I45*J45</x:f>
        <x:v>12</x:v>
      </x:c>
      <x:c r="L45" s="3" t="str">
        <x:v>최종 선택자료 반영</x:v>
      </x:c>
      <x:c r="M45" s="3"/>
      <x:c r="N45" s="3" t="str">
        <x:v>① 2026 입학생 편제표 27행 / ② 1학년=&gt;2학년!X22</x:v>
      </x:c>
    </x:row>
    <x:row r="46" ht="25" customHeight="1">
      <x:c r="A46" s="3"/>
      <x:c r="B46" s="18" t="n">
        <x:v>2027</x:v>
      </x:c>
      <x:c r="C46" s="18" t="n">
        <x:v>2</x:v>
      </x:c>
      <x:c r="D46" s="18" t="n">
        <x:v>2</x:v>
      </x:c>
      <x:c r="E46" s="18" t="n">
        <x:v>2026</x:v>
      </x:c>
      <x:c r="F46" s="3" t="str">
        <x:v>지리</x:v>
      </x:c>
      <x:c r="G46" s="3" t="str">
        <x:v>지리</x:v>
      </x:c>
      <x:c r="H46" s="3" t="str">
        <x:v>한국지리 탐구</x:v>
      </x:c>
      <x:c r="I46" s="48" t="n">
        <x:v>3</x:v>
      </x:c>
      <x:c r="J46" s="48" t="n">
        <x:v>2</x:v>
      </x:c>
      <x:c r="K46" s="48" t="n">
        <x:f>I46*J46</x:f>
        <x:v>6</x:v>
      </x:c>
      <x:c r="L46" s="3" t="str">
        <x:v>최종 선택자료 반영</x:v>
      </x:c>
      <x:c r="M46" s="3"/>
      <x:c r="N46" s="3" t="str">
        <x:v>① 2026 입학생 편제표 27행 / ② 1학년=&gt;2학년!X20</x:v>
      </x:c>
    </x:row>
    <x:row r="47" ht="25" customHeight="1">
      <x:c r="A47" s="3"/>
      <x:c r="B47" s="18" t="n">
        <x:v>2027</x:v>
      </x:c>
      <x:c r="C47" s="18" t="n">
        <x:v>2</x:v>
      </x:c>
      <x:c r="D47" s="18" t="n">
        <x:v>2</x:v>
      </x:c>
      <x:c r="E47" s="18" t="n">
        <x:v>2026</x:v>
      </x:c>
      <x:c r="F47" s="3" t="str">
        <x:v>생물</x:v>
      </x:c>
      <x:c r="G47" s="3" t="str">
        <x:v>생명과학</x:v>
      </x:c>
      <x:c r="H47" s="3" t="str">
        <x:v>생명과학</x:v>
      </x:c>
      <x:c r="I47" s="48" t="n">
        <x:v>3</x:v>
      </x:c>
      <x:c r="J47" s="48" t="n">
        <x:v>7</x:v>
      </x:c>
      <x:c r="K47" s="48" t="n">
        <x:f>I47*J47</x:f>
        <x:v>21</x:v>
      </x:c>
      <x:c r="L47" s="3" t="str">
        <x:v>최종 선택자료 반영</x:v>
      </x:c>
      <x:c r="M47" s="3"/>
      <x:c r="N47" s="3" t="str">
        <x:v>① 2026 입학생 편제표 28행 / ② 1학년=&gt;2학년!X25</x:v>
      </x:c>
    </x:row>
    <x:row r="48" ht="25" customHeight="1">
      <x:c r="A48" s="3"/>
      <x:c r="B48" s="18" t="n">
        <x:v>2027</x:v>
      </x:c>
      <x:c r="C48" s="18" t="n">
        <x:v>2</x:v>
      </x:c>
      <x:c r="D48" s="18" t="n">
        <x:v>2</x:v>
      </x:c>
      <x:c r="E48" s="18" t="n">
        <x:v>2026</x:v>
      </x:c>
      <x:c r="F48" s="3" t="str">
        <x:v>생물</x:v>
      </x:c>
      <x:c r="G48" s="3" t="str">
        <x:v>생명과학</x:v>
      </x:c>
      <x:c r="H48" s="3" t="str">
        <x:v>생물의 유전</x:v>
      </x:c>
      <x:c r="I48" s="48" t="n">
        <x:v>3</x:v>
      </x:c>
      <x:c r="J48" s="48" t="n">
        <x:v>5</x:v>
      </x:c>
      <x:c r="K48" s="48" t="n">
        <x:f>I48*J48</x:f>
        <x:v>15</x:v>
      </x:c>
      <x:c r="L48" s="3" t="str">
        <x:v>최종 선택자료 반영</x:v>
      </x:c>
      <x:c r="M48" s="3"/>
      <x:c r="N48" s="3" t="str">
        <x:v>① 2026 입학생 편제표 29행 / ② 1학년=&gt;2학년!X27</x:v>
      </x:c>
    </x:row>
    <x:row r="49" ht="25" customHeight="1">
      <x:c r="A49" s="3"/>
      <x:c r="B49" s="18" t="n">
        <x:v>2027</x:v>
      </x:c>
      <x:c r="C49" s="18" t="n">
        <x:v>2</x:v>
      </x:c>
      <x:c r="D49" s="18" t="n">
        <x:v>2</x:v>
      </x:c>
      <x:c r="E49" s="18" t="n">
        <x:v>2026</x:v>
      </x:c>
      <x:c r="F49" s="3" t="str">
        <x:v>물리</x:v>
      </x:c>
      <x:c r="G49" s="3" t="str">
        <x:v>물리학</x:v>
      </x:c>
      <x:c r="H49" s="3" t="str">
        <x:v>역학과 에너지</x:v>
      </x:c>
      <x:c r="I49" s="48" t="n">
        <x:v>3</x:v>
      </x:c>
      <x:c r="J49" s="48" t="n">
        <x:v>4</x:v>
      </x:c>
      <x:c r="K49" s="48" t="n">
        <x:f>I49*J49</x:f>
        <x:v>12</x:v>
      </x:c>
      <x:c r="L49" s="3" t="str">
        <x:v>최종 선택자료 반영</x:v>
      </x:c>
      <x:c r="M49" s="3"/>
      <x:c r="N49" s="3" t="str">
        <x:v>① 2026 입학생 편제표 29행 / ② 1학년=&gt;2학년!X26</x:v>
      </x:c>
    </x:row>
    <x:row r="50" ht="25" customHeight="1">
      <x:c r="A50" s="3"/>
      <x:c r="B50" s="18" t="n">
        <x:v>2027</x:v>
      </x:c>
      <x:c r="C50" s="18" t="n">
        <x:v>2</x:v>
      </x:c>
      <x:c r="D50" s="18" t="n">
        <x:v>2</x:v>
      </x:c>
      <x:c r="E50" s="18" t="n">
        <x:v>2026</x:v>
      </x:c>
      <x:c r="F50" s="3" t="str">
        <x:v>지구과학</x:v>
      </x:c>
      <x:c r="G50" s="3" t="str">
        <x:v>지구과학</x:v>
      </x:c>
      <x:c r="H50" s="3" t="str">
        <x:v>행성우주과학</x:v>
      </x:c>
      <x:c r="I50" s="48" t="n">
        <x:v>3</x:v>
      </x:c>
      <x:c r="J50" s="48" t="n">
        <x:v>1</x:v>
      </x:c>
      <x:c r="K50" s="48" t="n">
        <x:f>I50*J50</x:f>
        <x:v>3</x:v>
      </x:c>
      <x:c r="L50" s="3" t="str">
        <x:v>최종 선택자료 반영</x:v>
      </x:c>
      <x:c r="M50" s="3"/>
      <x:c r="N50" s="3" t="str">
        <x:v>① 2026 입학생 편제표 29행 / ② 1학년=&gt;2학년!X28</x:v>
      </x:c>
    </x:row>
    <x:row r="51" ht="25" customHeight="1">
      <x:c r="A51" s="3"/>
      <x:c r="B51" s="18" t="n">
        <x:v>2027</x:v>
      </x:c>
      <x:c r="C51" s="18" t="n">
        <x:v>2</x:v>
      </x:c>
      <x:c r="D51" s="18" t="n">
        <x:v>3</x:v>
      </x:c>
      <x:c r="E51" s="18" t="n">
        <x:v>2025</x:v>
      </x:c>
      <x:c r="F51" s="3" t="str">
        <x:v>윤리</x:v>
      </x:c>
      <x:c r="G51" s="3" t="str">
        <x:v>윤리</x:v>
      </x:c>
      <x:c r="H51" s="3" t="str">
        <x:v>인문학과 윤리</x:v>
      </x:c>
      <x:c r="I51" s="48" t="n">
        <x:v>3</x:v>
      </x:c>
      <x:c r="J51" s="48" t="n">
        <x:v>4</x:v>
      </x:c>
      <x:c r="K51" s="48" t="n">
        <x:f>I51*J51</x:f>
        <x:v>12</x:v>
      </x:c>
      <x:c r="L51" s="3" t="str">
        <x:v>최종 선택자료 반영</x:v>
      </x:c>
      <x:c r="M51" s="3"/>
      <x:c r="N51" s="3" t="str">
        <x:v>① 2025 입학생 편제표 48행 / ② 2학년=&gt;3학년!X41</x:v>
      </x:c>
    </x:row>
    <x:row r="52" ht="25" customHeight="1">
      <x:c r="A52" s="3"/>
      <x:c r="B52" s="18" t="n">
        <x:v>2027</x:v>
      </x:c>
      <x:c r="C52" s="18" t="n">
        <x:v>2</x:v>
      </x:c>
      <x:c r="D52" s="18" t="n">
        <x:v>3</x:v>
      </x:c>
      <x:c r="E52" s="18" t="n">
        <x:v>2025</x:v>
      </x:c>
      <x:c r="F52" s="3" t="str">
        <x:v>사회 융합</x:v>
      </x:c>
      <x:c r="G52" s="3" t="str">
        <x:v>일반사회</x:v>
      </x:c>
      <x:c r="H52" s="3" t="str">
        <x:v>금융과 경제생활</x:v>
      </x:c>
      <x:c r="I52" s="48" t="n">
        <x:v>3</x:v>
      </x:c>
      <x:c r="J52" s="48" t="n">
        <x:v>5</x:v>
      </x:c>
      <x:c r="K52" s="48" t="n">
        <x:f>I52*J52</x:f>
        <x:v>15</x:v>
      </x:c>
      <x:c r="L52" s="3" t="str">
        <x:v>최종 선택자료 반영</x:v>
      </x:c>
      <x:c r="M52" s="3"/>
      <x:c r="N52" s="3" t="str">
        <x:v>① 2025 입학생 편제표 49행 / ② 2학년=&gt;3학년!X44</x:v>
      </x:c>
    </x:row>
    <x:row r="53" ht="25" customHeight="1">
      <x:c r="A53" s="3"/>
      <x:c r="B53" s="18" t="n">
        <x:v>2027</x:v>
      </x:c>
      <x:c r="C53" s="18" t="n">
        <x:v>2</x:v>
      </x:c>
      <x:c r="D53" s="18" t="n">
        <x:v>3</x:v>
      </x:c>
      <x:c r="E53" s="18" t="n">
        <x:v>2025</x:v>
      </x:c>
      <x:c r="F53" s="3" t="str">
        <x:v>사회 융합</x:v>
      </x:c>
      <x:c r="G53" s="3" t="str">
        <x:v>일반사회</x:v>
      </x:c>
      <x:c r="H53" s="3" t="str">
        <x:v>사회문제 탐구</x:v>
      </x:c>
      <x:c r="I53" s="48" t="n">
        <x:v>3</x:v>
      </x:c>
      <x:c r="J53" s="48" t="n">
        <x:v>8</x:v>
      </x:c>
      <x:c r="K53" s="48" t="n">
        <x:f>I53*J53</x:f>
        <x:v>24</x:v>
      </x:c>
      <x:c r="L53" s="3" t="str">
        <x:v>최종 선택자료 반영</x:v>
      </x:c>
      <x:c r="M53" s="3"/>
      <x:c r="N53" s="3" t="str">
        <x:v>① 2025 입학생 편제표 49행 / ② 2학년=&gt;3학년!X43</x:v>
      </x:c>
    </x:row>
    <x:row r="54" ht="25" customHeight="1">
      <x:c r="A54" s="3"/>
      <x:c r="B54" s="18" t="n">
        <x:v>2027</x:v>
      </x:c>
      <x:c r="C54" s="18" t="n">
        <x:v>2</x:v>
      </x:c>
      <x:c r="D54" s="18" t="n">
        <x:v>3</x:v>
      </x:c>
      <x:c r="E54" s="18" t="n">
        <x:v>2025</x:v>
      </x:c>
      <x:c r="F54" s="3" t="str">
        <x:v>사회 융합</x:v>
      </x:c>
      <x:c r="G54" s="3" t="str">
        <x:v>지리</x:v>
      </x:c>
      <x:c r="H54" s="3" t="str">
        <x:v>여행지리</x:v>
      </x:c>
      <x:c r="I54" s="48" t="n">
        <x:v>3</x:v>
      </x:c>
      <x:c r="J54" s="48" t="n">
        <x:v>7</x:v>
      </x:c>
      <x:c r="K54" s="48" t="n">
        <x:f>I54*J54</x:f>
        <x:v>21</x:v>
      </x:c>
      <x:c r="L54" s="3" t="str">
        <x:v>최종 선택자료 반영</x:v>
      </x:c>
      <x:c r="M54" s="3"/>
      <x:c r="N54" s="3" t="str">
        <x:v>① 2025 입학생 편제표 49행 / ② 2학년=&gt;3학년!X42</x:v>
      </x:c>
    </x:row>
    <x:row r="55" ht="25" customHeight="1">
      <x:c r="A55" s="3"/>
      <x:c r="B55" s="18" t="n">
        <x:v>2027</x:v>
      </x:c>
      <x:c r="C55" s="18" t="n">
        <x:v>2</x:v>
      </x:c>
      <x:c r="D55" s="18" t="n">
        <x:v>3</x:v>
      </x:c>
      <x:c r="E55" s="18" t="n">
        <x:v>2025</x:v>
      </x:c>
      <x:c r="F55" s="3" t="str">
        <x:v>화학</x:v>
      </x:c>
      <x:c r="G55" s="3" t="str">
        <x:v>화학</x:v>
      </x:c>
      <x:c r="H55" s="3" t="str">
        <x:v>물질과 에너지</x:v>
      </x:c>
      <x:c r="I55" s="48" t="n">
        <x:v>3</x:v>
      </x:c>
      <x:c r="J55" s="48" t="n">
        <x:v>0</x:v>
      </x:c>
      <x:c r="K55" s="48" t="n">
        <x:f>I55*J55</x:f>
        <x:v>0</x:v>
      </x:c>
      <x:c r="L55" s="3" t="str">
        <x:v>최종 선택자료 반영</x:v>
      </x:c>
      <x:c r="M55" s="3"/>
      <x:c r="N55" s="3" t="str">
        <x:v>① 2025 입학생 편제표 50행 / ② 2학년=&gt;3학년!X46</x:v>
      </x:c>
    </x:row>
    <x:row r="56" ht="25" customHeight="1">
      <x:c r="A56" s="3"/>
      <x:c r="B56" s="18" t="n">
        <x:v>2027</x:v>
      </x:c>
      <x:c r="C56" s="18" t="n">
        <x:v>2</x:v>
      </x:c>
      <x:c r="D56" s="18" t="n">
        <x:v>3</x:v>
      </x:c>
      <x:c r="E56" s="18" t="n">
        <x:v>2025</x:v>
      </x:c>
      <x:c r="F56" s="3" t="str">
        <x:v>생물</x:v>
      </x:c>
      <x:c r="G56" s="3" t="str">
        <x:v>생명과학</x:v>
      </x:c>
      <x:c r="H56" s="3" t="str">
        <x:v>세포와 물질대사</x:v>
      </x:c>
      <x:c r="I56" s="48" t="n">
        <x:v>3</x:v>
      </x:c>
      <x:c r="J56" s="48" t="n">
        <x:v>0</x:v>
      </x:c>
      <x:c r="K56" s="48" t="n">
        <x:f>I56*J56</x:f>
        <x:v>0</x:v>
      </x:c>
      <x:c r="L56" s="3" t="str">
        <x:v>최종 선택자료 반영</x:v>
      </x:c>
      <x:c r="M56" s="3"/>
      <x:c r="N56" s="3" t="str">
        <x:v>① 2025 입학생 편제표 50행 / ② 2학년=&gt;3학년!X47</x:v>
      </x:c>
    </x:row>
    <x:row r="57" ht="25" customHeight="1">
      <x:c r="A57" s="3"/>
      <x:c r="B57" s="18" t="n">
        <x:v>2027</x:v>
      </x:c>
      <x:c r="C57" s="18" t="n">
        <x:v>2</x:v>
      </x:c>
      <x:c r="D57" s="18" t="n">
        <x:v>3</x:v>
      </x:c>
      <x:c r="E57" s="18" t="n">
        <x:v>2025</x:v>
      </x:c>
      <x:c r="F57" s="3" t="str">
        <x:v>물리</x:v>
      </x:c>
      <x:c r="G57" s="3" t="str">
        <x:v>물리학</x:v>
      </x:c>
      <x:c r="H57" s="3" t="str">
        <x:v>전자기와 양자</x:v>
      </x:c>
      <x:c r="I57" s="48" t="n">
        <x:v>3</x:v>
      </x:c>
      <x:c r="J57" s="48" t="n">
        <x:v>0</x:v>
      </x:c>
      <x:c r="K57" s="48" t="n">
        <x:f>I57*J57</x:f>
        <x:v>0</x:v>
      </x:c>
      <x:c r="L57" s="3" t="str">
        <x:v>최종 선택자료 반영</x:v>
      </x:c>
      <x:c r="M57" s="3"/>
      <x:c r="N57" s="3" t="str">
        <x:v>① 2025 입학생 편제표 50행 / ② 2학년=&gt;3학년!X45</x:v>
      </x:c>
    </x:row>
    <x:row r="58" ht="25" customHeight="1">
      <x:c r="A58" s="3"/>
      <x:c r="B58" s="18" t="n">
        <x:v>2027</x:v>
      </x:c>
      <x:c r="C58" s="18" t="n">
        <x:v>2</x:v>
      </x:c>
      <x:c r="D58" s="18" t="n">
        <x:v>3</x:v>
      </x:c>
      <x:c r="E58" s="18" t="n">
        <x:v>2025</x:v>
      </x:c>
      <x:c r="F58" s="3" t="str">
        <x:v>지구과학</x:v>
      </x:c>
      <x:c r="G58" s="3" t="str">
        <x:v>지구과학</x:v>
      </x:c>
      <x:c r="H58" s="3" t="str">
        <x:v>지구시스템과학</x:v>
      </x:c>
      <x:c r="I58" s="48" t="n">
        <x:v>3</x:v>
      </x:c>
      <x:c r="J58" s="48" t="n">
        <x:v>2</x:v>
      </x:c>
      <x:c r="K58" s="48" t="n">
        <x:f>I58*J58</x:f>
        <x:v>6</x:v>
      </x:c>
      <x:c r="L58" s="3" t="str">
        <x:v>최종 선택자료 반영</x:v>
      </x:c>
      <x:c r="M58" s="3"/>
      <x:c r="N58" s="3" t="str">
        <x:v>① 2025 입학생 편제표 50행 / ② 2학년=&gt;3학년!X48</x:v>
      </x:c>
    </x:row>
    <x:row r="59" ht="25" customHeight="1">
      <x:c r="A59" s="3"/>
      <x:c r="B59" s="18" t="n">
        <x:v>2027</x:v>
      </x:c>
      <x:c r="C59" s="18" t="n">
        <x:v>2</x:v>
      </x:c>
      <x:c r="D59" s="18" t="n">
        <x:v>3</x:v>
      </x:c>
      <x:c r="E59" s="18" t="n">
        <x:v>2025</x:v>
      </x:c>
      <x:c r="F59" s="3" t="str">
        <x:v>과학 융합</x:v>
      </x:c>
      <x:c r="G59" s="3" t="str">
        <x:v>과학 공통·융합</x:v>
      </x:c>
      <x:c r="H59" s="3" t="str">
        <x:v>과학의 역사와 문화</x:v>
      </x:c>
      <x:c r="I59" s="48" t="n">
        <x:v>3</x:v>
      </x:c>
      <x:c r="J59" s="48" t="n">
        <x:v>8</x:v>
      </x:c>
      <x:c r="K59" s="48" t="n">
        <x:f>I59*J59</x:f>
        <x:v>24</x:v>
      </x:c>
      <x:c r="L59" s="3" t="str">
        <x:v>최종 선택자료 반영</x:v>
      </x:c>
      <x:c r="M59" s="3"/>
      <x:c r="N59" s="3" t="str">
        <x:v>① 2025 입학생 편제표 51행 / ② 2학년=&gt;3학년!X50</x:v>
      </x:c>
    </x:row>
    <x:row r="60" ht="25" customHeight="1">
      <x:c r="A60" s="3"/>
      <x:c r="B60" s="18" t="n">
        <x:v>2027</x:v>
      </x:c>
      <x:c r="C60" s="18" t="n">
        <x:v>2</x:v>
      </x:c>
      <x:c r="D60" s="18" t="n">
        <x:v>3</x:v>
      </x:c>
      <x:c r="E60" s="18" t="n">
        <x:v>2025</x:v>
      </x:c>
      <x:c r="F60" s="3" t="str">
        <x:v>과학 융합</x:v>
      </x:c>
      <x:c r="G60" s="3" t="str">
        <x:v>과학 공통·융합</x:v>
      </x:c>
      <x:c r="H60" s="3" t="str">
        <x:v>기후변화와 환경생태</x:v>
      </x:c>
      <x:c r="I60" s="48" t="n">
        <x:v>3</x:v>
      </x:c>
      <x:c r="J60" s="48" t="n">
        <x:v>10</x:v>
      </x:c>
      <x:c r="K60" s="48" t="n">
        <x:f>I60*J60</x:f>
        <x:v>30</x:v>
      </x:c>
      <x:c r="L60" s="3" t="str">
        <x:v>최종 선택자료 반영</x:v>
      </x:c>
      <x:c r="M60" s="3"/>
      <x:c r="N60" s="3" t="str">
        <x:v>① 2025 입학생 편제표 51행 / ② 2학년=&gt;3학년!X49</x:v>
      </x:c>
    </x:row>
    <x:row r="61" ht="25" customHeight="1">
      <x:c r="A61" s="3"/>
      <x:c r="B61" s="18" t="n">
        <x:v>2027</x:v>
      </x:c>
      <x:c r="C61" s="18" t="n">
        <x:v>2</x:v>
      </x:c>
      <x:c r="D61" s="18" t="n">
        <x:v>3</x:v>
      </x:c>
      <x:c r="E61" s="18" t="n">
        <x:v>2025</x:v>
      </x:c>
      <x:c r="F61" s="3" t="str">
        <x:v>과학 융합</x:v>
      </x:c>
      <x:c r="G61" s="3" t="str">
        <x:v>과학 공통·융합</x:v>
      </x:c>
      <x:c r="H61" s="3" t="str">
        <x:v>융합과학 탐구</x:v>
      </x:c>
      <x:c r="I61" s="48" t="n">
        <x:v>3</x:v>
      </x:c>
      <x:c r="J61" s="48" t="n">
        <x:v>8</x:v>
      </x:c>
      <x:c r="K61" s="48" t="n">
        <x:f>I61*J61</x:f>
        <x:v>24</x:v>
      </x:c>
      <x:c r="L61" s="3" t="str">
        <x:v>최종 선택자료 반영</x:v>
      </x:c>
      <x:c r="M61" s="3"/>
      <x:c r="N61" s="3" t="str">
        <x:v>① 2025 입학생 편제표 51행 / ② 2학년=&gt;3학년!X51</x:v>
      </x:c>
    </x:row>
    <x:row r="62" ht="25" customHeight="1">
      <x:c r="A62" s="3"/>
      <x:c r="B62" s="18" t="n">
        <x:v>2028</x:v>
      </x:c>
      <x:c r="C62" s="18" t="n">
        <x:v>1</x:v>
      </x:c>
      <x:c r="D62" s="18" t="n">
        <x:v>1</x:v>
      </x:c>
      <x:c r="E62" s="18" t="n">
        <x:v>2028</x:v>
      </x:c>
      <x:c r="F62" s="3" t="str">
        <x:v>역사</x:v>
      </x:c>
      <x:c r="G62" s="3" t="str">
        <x:v>역사</x:v>
      </x:c>
      <x:c r="H62" s="3" t="str">
        <x:v>한국사1</x:v>
      </x:c>
      <x:c r="I62" s="48" t="n">
        <x:v>3</x:v>
      </x:c>
      <x:c r="J62" s="48" t="n">
        <x:v>12</x:v>
      </x:c>
      <x:c r="K62" s="48" t="n">
        <x:f>I62*J62</x:f>
        <x:v>36</x:v>
      </x:c>
      <x:c r="L62" s="3" t="str">
        <x:v>학급 수 적용</x:v>
      </x:c>
      <x:c r="M62" s="3"/>
      <x:c r="N62" s="3" t="str">
        <x:v>① 2027 입학생 편제표 12행 / 학급 수 조건</x:v>
      </x:c>
    </x:row>
    <x:row r="63" ht="25" customHeight="1">
      <x:c r="A63" s="3"/>
      <x:c r="B63" s="18" t="n">
        <x:v>2028</x:v>
      </x:c>
      <x:c r="C63" s="18" t="n">
        <x:v>1</x:v>
      </x:c>
      <x:c r="D63" s="18" t="n">
        <x:v>1</x:v>
      </x:c>
      <x:c r="E63" s="18" t="n">
        <x:v>2028</x:v>
      </x:c>
      <x:c r="F63" s="3" t="str">
        <x:v>통합사회</x:v>
      </x:c>
      <x:c r="G63" s="3" t="str">
        <x:v>사회 공통</x:v>
      </x:c>
      <x:c r="H63" s="3" t="str">
        <x:v>통합사회1</x:v>
      </x:c>
      <x:c r="I63" s="48" t="n">
        <x:v>4</x:v>
      </x:c>
      <x:c r="J63" s="48" t="n">
        <x:v>12</x:v>
      </x:c>
      <x:c r="K63" s="48" t="n">
        <x:f>I63*J63</x:f>
        <x:v>48</x:v>
      </x:c>
      <x:c r="L63" s="3" t="str">
        <x:v>학급 수 적용</x:v>
      </x:c>
      <x:c r="M63" s="3"/>
      <x:c r="N63" s="3" t="str">
        <x:v>① 2027 입학생 편제표 13행 / 학급 수 조건</x:v>
      </x:c>
    </x:row>
    <x:row r="64" ht="25" customHeight="1">
      <x:c r="A64" s="3"/>
      <x:c r="B64" s="18" t="n">
        <x:v>2028</x:v>
      </x:c>
      <x:c r="C64" s="18" t="n">
        <x:v>1</x:v>
      </x:c>
      <x:c r="D64" s="18" t="n">
        <x:v>1</x:v>
      </x:c>
      <x:c r="E64" s="18" t="n">
        <x:v>2028</x:v>
      </x:c>
      <x:c r="F64" s="3" t="str">
        <x:v>통합과학</x:v>
      </x:c>
      <x:c r="G64" s="3" t="str">
        <x:v>과학 공통·융합</x:v>
      </x:c>
      <x:c r="H64" s="3" t="str">
        <x:v>통합과학1</x:v>
      </x:c>
      <x:c r="I64" s="48" t="n">
        <x:v>4</x:v>
      </x:c>
      <x:c r="J64" s="48" t="n">
        <x:v>12</x:v>
      </x:c>
      <x:c r="K64" s="48" t="n">
        <x:f>I64*J64</x:f>
        <x:v>48</x:v>
      </x:c>
      <x:c r="L64" s="3" t="str">
        <x:v>학급 수 적용</x:v>
      </x:c>
      <x:c r="M64" s="3"/>
      <x:c r="N64" s="3" t="str">
        <x:v>① 2027 입학생 편제표 14행 / 학급 수 조건</x:v>
      </x:c>
    </x:row>
    <x:row r="65" ht="25" customHeight="1">
      <x:c r="A65" s="3"/>
      <x:c r="B65" s="18" t="n">
        <x:v>2028</x:v>
      </x:c>
      <x:c r="C65" s="18" t="n">
        <x:v>1</x:v>
      </x:c>
      <x:c r="D65" s="18" t="n">
        <x:v>1</x:v>
      </x:c>
      <x:c r="E65" s="18" t="n">
        <x:v>2028</x:v>
      </x:c>
      <x:c r="F65" s="3" t="str">
        <x:v>과학탐구실험</x:v>
      </x:c>
      <x:c r="G65" s="3" t="str">
        <x:v>과학 공통·융합</x:v>
      </x:c>
      <x:c r="H65" s="3" t="str">
        <x:v>과학탐구실험1</x:v>
      </x:c>
      <x:c r="I65" s="48" t="n">
        <x:v>1</x:v>
      </x:c>
      <x:c r="J65" s="48" t="n">
        <x:v>12</x:v>
      </x:c>
      <x:c r="K65" s="48" t="n">
        <x:f>I65*J65</x:f>
        <x:v>12</x:v>
      </x:c>
      <x:c r="L65" s="3" t="str">
        <x:v>학급 수 적용</x:v>
      </x:c>
      <x:c r="M65" s="3"/>
      <x:c r="N65" s="3" t="str">
        <x:v>① 2027 입학생 편제표 15행 / 학급 수 조건</x:v>
      </x:c>
    </x:row>
    <x:row r="66" ht="25" customHeight="1">
      <x:c r="A66" s="3"/>
      <x:c r="B66" s="18" t="n">
        <x:v>2028</x:v>
      </x:c>
      <x:c r="C66" s="18" t="n">
        <x:v>1</x:v>
      </x:c>
      <x:c r="D66" s="18" t="n">
        <x:v>2</x:v>
      </x:c>
      <x:c r="E66" s="18" t="n">
        <x:v>2027</x:v>
      </x:c>
      <x:c r="F66" s="3" t="str">
        <x:v>일반사회</x:v>
      </x:c>
      <x:c r="G66" s="3" t="str">
        <x:v>일반사회</x:v>
      </x:c>
      <x:c r="H66" s="3" t="str">
        <x:v>사회와 문화</x:v>
      </x:c>
      <x:c r="I66" s="48" t="n">
        <x:v>3</x:v>
      </x:c>
      <x:c r="J66" s="48" t="n">
        <x:v>6</x:v>
      </x:c>
      <x:c r="K66" s="48" t="n">
        <x:f>I66*J66</x:f>
        <x:v>18</x:v>
      </x:c>
      <x:c r="L66" s="3" t="str">
        <x:v>선택 비율·총반수 조정</x:v>
      </x:c>
      <x:c r="M66" s="3"/>
      <x:c r="N66" s="3" t="str">
        <x:v>① 2027 입학생 편제표 24행 / ② 1학년=&gt;2학년!X9</x:v>
      </x:c>
    </x:row>
    <x:row r="67" ht="25" customHeight="1">
      <x:c r="A67" s="3"/>
      <x:c r="B67" s="18" t="n">
        <x:v>2028</x:v>
      </x:c>
      <x:c r="C67" s="18" t="n">
        <x:v>1</x:v>
      </x:c>
      <x:c r="D67" s="18" t="n">
        <x:v>2</x:v>
      </x:c>
      <x:c r="E67" s="18" t="n">
        <x:v>2027</x:v>
      </x:c>
      <x:c r="F67" s="3" t="str">
        <x:v>역사</x:v>
      </x:c>
      <x:c r="G67" s="3" t="str">
        <x:v>역사</x:v>
      </x:c>
      <x:c r="H67" s="3" t="str">
        <x:v>세계사</x:v>
      </x:c>
      <x:c r="I67" s="48" t="n">
        <x:v>3</x:v>
      </x:c>
      <x:c r="J67" s="48" t="n">
        <x:v>3</x:v>
      </x:c>
      <x:c r="K67" s="48" t="n">
        <x:f>I67*J67</x:f>
        <x:v>9</x:v>
      </x:c>
      <x:c r="L67" s="3" t="str">
        <x:v>선택 비율·총반수 조정</x:v>
      </x:c>
      <x:c r="M67" s="3"/>
      <x:c r="N67" s="3" t="str">
        <x:v>① 2027 입학생 편제표 24행 / ② 1학년=&gt;2학년!X8</x:v>
      </x:c>
    </x:row>
    <x:row r="68" ht="25" customHeight="1">
      <x:c r="A68" s="3"/>
      <x:c r="B68" s="18" t="n">
        <x:v>2028</x:v>
      </x:c>
      <x:c r="C68" s="18" t="n">
        <x:v>1</x:v>
      </x:c>
      <x:c r="D68" s="18" t="n">
        <x:v>2</x:v>
      </x:c>
      <x:c r="E68" s="18" t="n">
        <x:v>2027</x:v>
      </x:c>
      <x:c r="F68" s="3" t="str">
        <x:v>지리</x:v>
      </x:c>
      <x:c r="G68" s="3" t="str">
        <x:v>지리</x:v>
      </x:c>
      <x:c r="H68" s="3" t="str">
        <x:v>세계시민과 지리</x:v>
      </x:c>
      <x:c r="I68" s="48" t="n">
        <x:v>3</x:v>
      </x:c>
      <x:c r="J68" s="48" t="n">
        <x:v>3</x:v>
      </x:c>
      <x:c r="K68" s="48" t="n">
        <x:f>I68*J68</x:f>
        <x:v>9</x:v>
      </x:c>
      <x:c r="L68" s="3" t="str">
        <x:v>선택 비율·총반수 조정</x:v>
      </x:c>
      <x:c r="M68" s="3"/>
      <x:c r="N68" s="3" t="str">
        <x:v>① 2027 입학생 편제표 24행 / ② 1학년=&gt;2학년!X7</x:v>
      </x:c>
    </x:row>
    <x:row r="69" ht="25" customHeight="1">
      <x:c r="A69" s="3"/>
      <x:c r="B69" s="18" t="n">
        <x:v>2028</x:v>
      </x:c>
      <x:c r="C69" s="18" t="n">
        <x:v>1</x:v>
      </x:c>
      <x:c r="D69" s="18" t="n">
        <x:v>2</x:v>
      </x:c>
      <x:c r="E69" s="18" t="n">
        <x:v>2027</x:v>
      </x:c>
      <x:c r="F69" s="3" t="str">
        <x:v>윤리</x:v>
      </x:c>
      <x:c r="G69" s="3" t="str">
        <x:v>윤리</x:v>
      </x:c>
      <x:c r="H69" s="3" t="str">
        <x:v>현대사회와 윤리</x:v>
      </x:c>
      <x:c r="I69" s="48" t="n">
        <x:v>3</x:v>
      </x:c>
      <x:c r="J69" s="48" t="n">
        <x:v>6</x:v>
      </x:c>
      <x:c r="K69" s="48" t="n">
        <x:f>I69*J69</x:f>
        <x:v>18</x:v>
      </x:c>
      <x:c r="L69" s="3" t="str">
        <x:v>선택 비율·총반수 조정</x:v>
      </x:c>
      <x:c r="M69" s="3"/>
      <x:c r="N69" s="3" t="str">
        <x:v>① 2027 입학생 편제표 24행 / ② 1학년=&gt;2학년!X10</x:v>
      </x:c>
    </x:row>
    <x:row r="70" ht="25" customHeight="1">
      <x:c r="A70" s="3"/>
      <x:c r="B70" s="18" t="n">
        <x:v>2028</x:v>
      </x:c>
      <x:c r="C70" s="18" t="n">
        <x:v>1</x:v>
      </x:c>
      <x:c r="D70" s="18" t="n">
        <x:v>2</x:v>
      </x:c>
      <x:c r="E70" s="18" t="n">
        <x:v>2027</x:v>
      </x:c>
      <x:c r="F70" s="3" t="str">
        <x:v>물리</x:v>
      </x:c>
      <x:c r="G70" s="3" t="str">
        <x:v>물리학</x:v>
      </x:c>
      <x:c r="H70" s="3" t="str">
        <x:v>물리학</x:v>
      </x:c>
      <x:c r="I70" s="48" t="n">
        <x:v>3</x:v>
      </x:c>
      <x:c r="J70" s="48" t="n">
        <x:v>4</x:v>
      </x:c>
      <x:c r="K70" s="48" t="n">
        <x:f>I70*J70</x:f>
        <x:v>12</x:v>
      </x:c>
      <x:c r="L70" s="3" t="str">
        <x:v>선택 비율·총반수 조정</x:v>
      </x:c>
      <x:c r="M70" s="3"/>
      <x:c r="N70" s="3" t="str">
        <x:v>① 2027 입학생 편제표 25행 / ② 1학년=&gt;2학년!X11</x:v>
      </x:c>
    </x:row>
    <x:row r="71" ht="25" customHeight="1">
      <x:c r="A71" s="3"/>
      <x:c r="B71" s="18" t="n">
        <x:v>2028</x:v>
      </x:c>
      <x:c r="C71" s="18" t="n">
        <x:v>1</x:v>
      </x:c>
      <x:c r="D71" s="18" t="n">
        <x:v>2</x:v>
      </x:c>
      <x:c r="E71" s="18" t="n">
        <x:v>2027</x:v>
      </x:c>
      <x:c r="F71" s="3" t="str">
        <x:v>생물</x:v>
      </x:c>
      <x:c r="G71" s="3" t="str">
        <x:v>생명과학</x:v>
      </x:c>
      <x:c r="H71" s="3" t="str">
        <x:v>생명과학</x:v>
      </x:c>
      <x:c r="I71" s="48" t="n">
        <x:v>3</x:v>
      </x:c>
      <x:c r="J71" s="48" t="n">
        <x:v>5</x:v>
      </x:c>
      <x:c r="K71" s="48" t="n">
        <x:f>I71*J71</x:f>
        <x:v>15</x:v>
      </x:c>
      <x:c r="L71" s="3" t="str">
        <x:v>선택 비율·총반수 조정</x:v>
      </x:c>
      <x:c r="M71" s="3"/>
      <x:c r="N71" s="3" t="str">
        <x:v>① 2027 입학생 편제표 25행 / ② 1학년=&gt;2학년!X25</x:v>
      </x:c>
    </x:row>
    <x:row r="72" ht="25" customHeight="1">
      <x:c r="A72" s="3"/>
      <x:c r="B72" s="18" t="n">
        <x:v>2028</x:v>
      </x:c>
      <x:c r="C72" s="18" t="n">
        <x:v>1</x:v>
      </x:c>
      <x:c r="D72" s="18" t="n">
        <x:v>2</x:v>
      </x:c>
      <x:c r="E72" s="18" t="n">
        <x:v>2027</x:v>
      </x:c>
      <x:c r="F72" s="3" t="str">
        <x:v>지구과학</x:v>
      </x:c>
      <x:c r="G72" s="3" t="str">
        <x:v>지구과학</x:v>
      </x:c>
      <x:c r="H72" s="3" t="str">
        <x:v>지구과학</x:v>
      </x:c>
      <x:c r="I72" s="48" t="n">
        <x:v>3</x:v>
      </x:c>
      <x:c r="J72" s="48" t="n">
        <x:v>4</x:v>
      </x:c>
      <x:c r="K72" s="48" t="n">
        <x:f>I72*J72</x:f>
        <x:v>12</x:v>
      </x:c>
      <x:c r="L72" s="3" t="str">
        <x:v>선택 비율·총반수 조정</x:v>
      </x:c>
      <x:c r="M72" s="3"/>
      <x:c r="N72" s="3" t="str">
        <x:v>① 2027 입학생 편제표 25행 / ② 1학년=&gt;2학년!X13</x:v>
      </x:c>
    </x:row>
    <x:row r="73" ht="25" customHeight="1">
      <x:c r="A73" s="3"/>
      <x:c r="B73" s="18" t="n">
        <x:v>2028</x:v>
      </x:c>
      <x:c r="C73" s="18" t="n">
        <x:v>1</x:v>
      </x:c>
      <x:c r="D73" s="18" t="n">
        <x:v>2</x:v>
      </x:c>
      <x:c r="E73" s="18" t="n">
        <x:v>2027</x:v>
      </x:c>
      <x:c r="F73" s="3" t="str">
        <x:v>화학</x:v>
      </x:c>
      <x:c r="G73" s="3" t="str">
        <x:v>화학</x:v>
      </x:c>
      <x:c r="H73" s="3" t="str">
        <x:v>화학</x:v>
      </x:c>
      <x:c r="I73" s="48" t="n">
        <x:v>3</x:v>
      </x:c>
      <x:c r="J73" s="48" t="n">
        <x:v>5</x:v>
      </x:c>
      <x:c r="K73" s="48" t="n">
        <x:f>I73*J73</x:f>
        <x:v>15</x:v>
      </x:c>
      <x:c r="L73" s="3" t="str">
        <x:v>선택 비율·총반수 조정</x:v>
      </x:c>
      <x:c r="M73" s="3"/>
      <x:c r="N73" s="3" t="str">
        <x:v>① 2027 입학생 편제표 25행 / ② 1학년=&gt;2학년!X12</x:v>
      </x:c>
    </x:row>
    <x:row r="74" ht="25" customHeight="1">
      <x:c r="A74" s="3"/>
      <x:c r="B74" s="18" t="n">
        <x:v>2028</x:v>
      </x:c>
      <x:c r="C74" s="18" t="n">
        <x:v>1</x:v>
      </x:c>
      <x:c r="D74" s="18" t="n">
        <x:v>3</x:v>
      </x:c>
      <x:c r="E74" s="18" t="n">
        <x:v>2026</x:v>
      </x:c>
      <x:c r="F74" s="3" t="str">
        <x:v>일반사회</x:v>
      </x:c>
      <x:c r="G74" s="3" t="str">
        <x:v>일반사회</x:v>
      </x:c>
      <x:c r="H74" s="3" t="str">
        <x:v>경제</x:v>
      </x:c>
      <x:c r="I74" s="48" t="n">
        <x:v>3</x:v>
      </x:c>
      <x:c r="J74" s="48" t="n">
        <x:f>'경제 수요 보정'!K25</x:f>
        <x:v>4</x:v>
      </x:c>
      <x:c r="K74" s="48" t="n">
        <x:f>I74*J74</x:f>
        <x:v>12</x:v>
      </x:c>
      <x:c r="L74" s="3" t="str">
        <x:v>경제·윤리 수요 보정·총반수 조정</x:v>
      </x:c>
      <x:c r="M74" s="3"/>
      <x:c r="N74" s="3" t="str">
        <x:v>① 2026 입학생 편제표 33행 / ② 2학년=&gt;3학년!X8 / 경제 수요 보정!K25</x:v>
      </x:c>
    </x:row>
    <x:row r="75" ht="25" customHeight="1">
      <x:c r="A75" s="3"/>
      <x:c r="B75" s="18" t="n">
        <x:v>2028</x:v>
      </x:c>
      <x:c r="C75" s="18" t="n">
        <x:v>1</x:v>
      </x:c>
      <x:c r="D75" s="18" t="n">
        <x:v>3</x:v>
      </x:c>
      <x:c r="E75" s="18" t="n">
        <x:v>2026</x:v>
      </x:c>
      <x:c r="F75" s="3" t="str">
        <x:v>일반사회</x:v>
      </x:c>
      <x:c r="G75" s="3" t="str">
        <x:v>일반사회</x:v>
      </x:c>
      <x:c r="H75" s="3" t="str">
        <x:v>국제 관계의 이해</x:v>
      </x:c>
      <x:c r="I75" s="48" t="n">
        <x:v>3</x:v>
      </x:c>
      <x:c r="J75" s="48" t="n">
        <x:f>'경제 수요 보정'!K27</x:f>
        <x:v>5</x:v>
      </x:c>
      <x:c r="K75" s="48" t="n">
        <x:f>I75*J75</x:f>
        <x:v>15</x:v>
      </x:c>
      <x:c r="L75" s="3" t="str">
        <x:v>경제·윤리 수요 보정·총반수 조정</x:v>
      </x:c>
      <x:c r="M75" s="3"/>
      <x:c r="N75" s="3" t="str">
        <x:v>① 2026 입학생 편제표 33행 / ② 2학년=&gt;3학년!X11 / 경제 수요 보정!K27</x:v>
      </x:c>
    </x:row>
    <x:row r="76" ht="25" customHeight="1">
      <x:c r="A76" s="3"/>
      <x:c r="B76" s="18" t="n">
        <x:v>2028</x:v>
      </x:c>
      <x:c r="C76" s="18" t="n">
        <x:v>1</x:v>
      </x:c>
      <x:c r="D76" s="18" t="n">
        <x:v>3</x:v>
      </x:c>
      <x:c r="E76" s="18" t="n">
        <x:v>2026</x:v>
      </x:c>
      <x:c r="F76" s="3" t="str">
        <x:v>지리</x:v>
      </x:c>
      <x:c r="G76" s="3" t="str">
        <x:v>지리</x:v>
      </x:c>
      <x:c r="H76" s="3" t="str">
        <x:v>도시의 미래 탐구</x:v>
      </x:c>
      <x:c r="I76" s="48" t="n">
        <x:v>3</x:v>
      </x:c>
      <x:c r="J76" s="48" t="n">
        <x:f>'경제 수요 보정'!K24</x:f>
        <x:v>6</x:v>
      </x:c>
      <x:c r="K76" s="48" t="n">
        <x:f>I76*J76</x:f>
        <x:v>18</x:v>
      </x:c>
      <x:c r="L76" s="3" t="str">
        <x:v>경제·윤리 수요 보정·총반수 조정</x:v>
      </x:c>
      <x:c r="M76" s="3"/>
      <x:c r="N76" s="3" t="str">
        <x:v>① 2026 입학생 편제표 33행 / ② 2학년=&gt;3학년!X7 / 경제 수요 보정!K24</x:v>
      </x:c>
    </x:row>
    <x:row r="77" ht="25" customHeight="1">
      <x:c r="A77" s="3"/>
      <x:c r="B77" s="18" t="n">
        <x:v>2028</x:v>
      </x:c>
      <x:c r="C77" s="18" t="n">
        <x:v>1</x:v>
      </x:c>
      <x:c r="D77" s="18" t="n">
        <x:v>3</x:v>
      </x:c>
      <x:c r="E77" s="18" t="n">
        <x:v>2026</x:v>
      </x:c>
      <x:c r="F77" s="3" t="str">
        <x:v>윤리</x:v>
      </x:c>
      <x:c r="G77" s="3" t="str">
        <x:v>윤리</x:v>
      </x:c>
      <x:c r="H77" s="3" t="str">
        <x:v>인문학과 윤리</x:v>
      </x:c>
      <x:c r="I77" s="48" t="n">
        <x:v>3</x:v>
      </x:c>
      <x:c r="J77" s="48" t="n">
        <x:f>'경제 수요 보정'!K26</x:f>
        <x:v>3</x:v>
      </x:c>
      <x:c r="K77" s="48" t="n">
        <x:f>I77*J77</x:f>
        <x:v>9</x:v>
      </x:c>
      <x:c r="L77" s="3" t="str">
        <x:v>경제·윤리 수요 보정·총반수 조정</x:v>
      </x:c>
      <x:c r="M77" s="3"/>
      <x:c r="N77" s="3" t="str">
        <x:v>① 2026 입학생 편제표 33행 / ② 2학년=&gt;3학년!X10 / 경제 수요 보정!K26</x:v>
      </x:c>
    </x:row>
    <x:row r="78" ht="25" customHeight="1">
      <x:c r="A78" s="3"/>
      <x:c r="B78" s="18" t="n">
        <x:v>2028</x:v>
      </x:c>
      <x:c r="C78" s="18" t="n">
        <x:v>1</x:v>
      </x:c>
      <x:c r="D78" s="18" t="n">
        <x:v>3</x:v>
      </x:c>
      <x:c r="E78" s="18" t="n">
        <x:v>2026</x:v>
      </x:c>
      <x:c r="F78" s="3" t="str">
        <x:v>사회 융합</x:v>
      </x:c>
      <x:c r="G78" s="3" t="str">
        <x:v>지리</x:v>
      </x:c>
      <x:c r="H78" s="3" t="str">
        <x:v>기후변화와 지속가능한 세계</x:v>
      </x:c>
      <x:c r="I78" s="48" t="n">
        <x:v>3</x:v>
      </x:c>
      <x:c r="J78" s="48" t="n">
        <x:f>'경제 수요 보정'!K30</x:f>
        <x:v>2</x:v>
      </x:c>
      <x:c r="K78" s="48" t="n">
        <x:f>I78*J78</x:f>
        <x:v>6</x:v>
      </x:c>
      <x:c r="L78" s="3" t="str">
        <x:v>경제·윤리 수요 보정·총반수 조정</x:v>
      </x:c>
      <x:c r="M78" s="3"/>
      <x:c r="N78" s="3" t="str">
        <x:v>① 2026 입학생 편제표 34행 / ② 2학년=&gt;3학년!X17 / 경제 수요 보정!K30</x:v>
      </x:c>
    </x:row>
    <x:row r="79" ht="25" customHeight="1">
      <x:c r="A79" s="3"/>
      <x:c r="B79" s="18" t="n">
        <x:v>2028</x:v>
      </x:c>
      <x:c r="C79" s="18" t="n">
        <x:v>1</x:v>
      </x:c>
      <x:c r="D79" s="18" t="n">
        <x:v>3</x:v>
      </x:c>
      <x:c r="E79" s="18" t="n">
        <x:v>2026</x:v>
      </x:c>
      <x:c r="F79" s="3" t="str">
        <x:v>사회 융합</x:v>
      </x:c>
      <x:c r="G79" s="3" t="str">
        <x:v>일반사회</x:v>
      </x:c>
      <x:c r="H79" s="3" t="str">
        <x:v>사회문제 탐구</x:v>
      </x:c>
      <x:c r="I79" s="48" t="n">
        <x:v>3</x:v>
      </x:c>
      <x:c r="J79" s="48" t="n">
        <x:f>'경제 수요 보정'!K29</x:f>
        <x:v>2</x:v>
      </x:c>
      <x:c r="K79" s="48" t="n">
        <x:f>I79*J79</x:f>
        <x:v>6</x:v>
      </x:c>
      <x:c r="L79" s="3" t="str">
        <x:v>경제·윤리 수요 보정·총반수 조정</x:v>
      </x:c>
      <x:c r="M79" s="3"/>
      <x:c r="N79" s="3" t="str">
        <x:v>① 2026 입학생 편제표 34행 / ② 2학년=&gt;3학년!X14 / 경제 수요 보정!K29</x:v>
      </x:c>
    </x:row>
    <x:row r="80" ht="25" customHeight="1">
      <x:c r="A80" s="3"/>
      <x:c r="B80" s="18" t="n">
        <x:v>2028</x:v>
      </x:c>
      <x:c r="C80" s="18" t="n">
        <x:v>1</x:v>
      </x:c>
      <x:c r="D80" s="18" t="n">
        <x:v>3</x:v>
      </x:c>
      <x:c r="E80" s="18" t="n">
        <x:v>2026</x:v>
      </x:c>
      <x:c r="F80" s="3" t="str">
        <x:v>사회 융합</x:v>
      </x:c>
      <x:c r="G80" s="3" t="str">
        <x:v>역사</x:v>
      </x:c>
      <x:c r="H80" s="3" t="str">
        <x:v>역사로 탐구하는 현대 세계</x:v>
      </x:c>
      <x:c r="I80" s="48" t="n">
        <x:v>3</x:v>
      </x:c>
      <x:c r="J80" s="48" t="n">
        <x:f>'경제 수요 보정'!K28</x:f>
        <x:v>4</x:v>
      </x:c>
      <x:c r="K80" s="48" t="n">
        <x:f>I80*J80</x:f>
        <x:v>12</x:v>
      </x:c>
      <x:c r="L80" s="3" t="str">
        <x:v>경제·윤리 수요 보정·총반수 조정</x:v>
      </x:c>
      <x:c r="M80" s="3"/>
      <x:c r="N80" s="3" t="str">
        <x:v>① 2026 입학생 편제표 34행 / ② 2학년=&gt;3학년!X13 / 경제 수요 보정!K28</x:v>
      </x:c>
    </x:row>
    <x:row r="81" ht="25" customHeight="1">
      <x:c r="A81" s="3"/>
      <x:c r="B81" s="18" t="n">
        <x:v>2028</x:v>
      </x:c>
      <x:c r="C81" s="18" t="n">
        <x:v>1</x:v>
      </x:c>
      <x:c r="D81" s="18" t="n">
        <x:v>3</x:v>
      </x:c>
      <x:c r="E81" s="18" t="n">
        <x:v>2026</x:v>
      </x:c>
      <x:c r="F81" s="3" t="str">
        <x:v>화학</x:v>
      </x:c>
      <x:c r="G81" s="3" t="str">
        <x:v>화학</x:v>
      </x:c>
      <x:c r="H81" s="3" t="str">
        <x:v>물질과 에너지</x:v>
      </x:c>
      <x:c r="I81" s="48" t="n">
        <x:v>3</x:v>
      </x:c>
      <x:c r="J81" s="48" t="n">
        <x:f>'경제 수요 보정'!K32</x:f>
        <x:v>7</x:v>
      </x:c>
      <x:c r="K81" s="48" t="n">
        <x:f>I81*J81</x:f>
        <x:v>21</x:v>
      </x:c>
      <x:c r="L81" s="3" t="str">
        <x:v>경제·윤리 수요 보정·총반수 조정</x:v>
      </x:c>
      <x:c r="M81" s="3"/>
      <x:c r="N81" s="3" t="str">
        <x:v>① 2026 입학생 편제표 35행 / ② 2학년=&gt;3학년!X20 / 경제 수요 보정!K32</x:v>
      </x:c>
    </x:row>
    <x:row r="82" ht="25" customHeight="1">
      <x:c r="A82" s="3"/>
      <x:c r="B82" s="18" t="n">
        <x:v>2028</x:v>
      </x:c>
      <x:c r="C82" s="18" t="n">
        <x:v>1</x:v>
      </x:c>
      <x:c r="D82" s="18" t="n">
        <x:v>3</x:v>
      </x:c>
      <x:c r="E82" s="18" t="n">
        <x:v>2026</x:v>
      </x:c>
      <x:c r="F82" s="3" t="str">
        <x:v>생물</x:v>
      </x:c>
      <x:c r="G82" s="3" t="str">
        <x:v>생명과학</x:v>
      </x:c>
      <x:c r="H82" s="3" t="str">
        <x:v>세포와 물질대사</x:v>
      </x:c>
      <x:c r="I82" s="48" t="n">
        <x:v>3</x:v>
      </x:c>
      <x:c r="J82" s="48" t="n">
        <x:f>'경제 수요 보정'!K34</x:f>
        <x:v>5</x:v>
      </x:c>
      <x:c r="K82" s="48" t="n">
        <x:f>I82*J82</x:f>
        <x:v>15</x:v>
      </x:c>
      <x:c r="L82" s="3" t="str">
        <x:v>경제·윤리 수요 보정·총반수 조정</x:v>
      </x:c>
      <x:c r="M82" s="3"/>
      <x:c r="N82" s="3" t="str">
        <x:v>① 2026 입학생 편제표 35행 / ② 2학년=&gt;3학년!X22 / 경제 수요 보정!K34</x:v>
      </x:c>
    </x:row>
    <x:row r="83" ht="25" customHeight="1">
      <x:c r="A83" s="3"/>
      <x:c r="B83" s="18" t="n">
        <x:v>2028</x:v>
      </x:c>
      <x:c r="C83" s="18" t="n">
        <x:v>1</x:v>
      </x:c>
      <x:c r="D83" s="18" t="n">
        <x:v>3</x:v>
      </x:c>
      <x:c r="E83" s="18" t="n">
        <x:v>2026</x:v>
      </x:c>
      <x:c r="F83" s="3" t="str">
        <x:v>물리</x:v>
      </x:c>
      <x:c r="G83" s="3" t="str">
        <x:v>물리학</x:v>
      </x:c>
      <x:c r="H83" s="3" t="str">
        <x:v>전자기와 양자</x:v>
      </x:c>
      <x:c r="I83" s="48" t="n">
        <x:v>3</x:v>
      </x:c>
      <x:c r="J83" s="48" t="n">
        <x:f>'경제 수요 보정'!K31</x:f>
        <x:v>2</x:v>
      </x:c>
      <x:c r="K83" s="48" t="n">
        <x:f>I83*J83</x:f>
        <x:v>6</x:v>
      </x:c>
      <x:c r="L83" s="3" t="str">
        <x:v>경제·윤리 수요 보정·총반수 조정</x:v>
      </x:c>
      <x:c r="M83" s="3"/>
      <x:c r="N83" s="3" t="str">
        <x:v>① 2026 입학생 편제표 35행 / ② 2학년=&gt;3학년!X19 / 경제 수요 보정!K31</x:v>
      </x:c>
    </x:row>
    <x:row r="84" ht="25" customHeight="1">
      <x:c r="A84" s="3"/>
      <x:c r="B84" s="18" t="n">
        <x:v>2028</x:v>
      </x:c>
      <x:c r="C84" s="18" t="n">
        <x:v>1</x:v>
      </x:c>
      <x:c r="D84" s="18" t="n">
        <x:v>3</x:v>
      </x:c>
      <x:c r="E84" s="18" t="n">
        <x:v>2026</x:v>
      </x:c>
      <x:c r="F84" s="3" t="str">
        <x:v>지구과학</x:v>
      </x:c>
      <x:c r="G84" s="3" t="str">
        <x:v>지구과학</x:v>
      </x:c>
      <x:c r="H84" s="3" t="str">
        <x:v>지구시스템과학</x:v>
      </x:c>
      <x:c r="I84" s="48" t="n">
        <x:v>3</x:v>
      </x:c>
      <x:c r="J84" s="48" t="n">
        <x:f>'경제 수요 보정'!K35</x:f>
        <x:v>0</x:v>
      </x:c>
      <x:c r="K84" s="48" t="n">
        <x:f>I84*J84</x:f>
        <x:v>0</x:v>
      </x:c>
      <x:c r="L84" s="3" t="str">
        <x:v>경제·윤리 수요 보정·총반수 조정</x:v>
      </x:c>
      <x:c r="M84" s="3"/>
      <x:c r="N84" s="3" t="str">
        <x:v>① 2026 입학생 편제표 35행 / ② 2학년=&gt;3학년!X24 / 경제 수요 보정!K35</x:v>
      </x:c>
    </x:row>
    <x:row r="85" ht="25" customHeight="1">
      <x:c r="A85" s="3"/>
      <x:c r="B85" s="18" t="n">
        <x:v>2028</x:v>
      </x:c>
      <x:c r="C85" s="18" t="n">
        <x:v>1</x:v>
      </x:c>
      <x:c r="D85" s="18" t="n">
        <x:v>3</x:v>
      </x:c>
      <x:c r="E85" s="18" t="n">
        <x:v>2026</x:v>
      </x:c>
      <x:c r="F85" s="3" t="str">
        <x:v>화학</x:v>
      </x:c>
      <x:c r="G85" s="3" t="str">
        <x:v>화학</x:v>
      </x:c>
      <x:c r="H85" s="3" t="str">
        <x:v>화학 반응의 세계</x:v>
      </x:c>
      <x:c r="I85" s="48" t="n">
        <x:v>3</x:v>
      </x:c>
      <x:c r="J85" s="48" t="n">
        <x:f>'경제 수요 보정'!K33</x:f>
        <x:v>8</x:v>
      </x:c>
      <x:c r="K85" s="48" t="n">
        <x:f>I85*J85</x:f>
        <x:v>24</x:v>
      </x:c>
      <x:c r="L85" s="3" t="str">
        <x:v>경제·윤리 수요 보정·총반수 조정</x:v>
      </x:c>
      <x:c r="M85" s="3"/>
      <x:c r="N85" s="3" t="str">
        <x:v>① 2026 입학생 편제표 35행 / ② 2학년=&gt;3학년!X21 / 경제 수요 보정!K33</x:v>
      </x:c>
    </x:row>
    <x:row r="86" ht="25" customHeight="1">
      <x:c r="A86" s="3"/>
      <x:c r="B86" s="18" t="n">
        <x:v>2028</x:v>
      </x:c>
      <x:c r="C86" s="18" t="n">
        <x:v>2</x:v>
      </x:c>
      <x:c r="D86" s="18" t="n">
        <x:v>1</x:v>
      </x:c>
      <x:c r="E86" s="18" t="n">
        <x:v>2028</x:v>
      </x:c>
      <x:c r="F86" s="3" t="str">
        <x:v>역사</x:v>
      </x:c>
      <x:c r="G86" s="3" t="str">
        <x:v>역사</x:v>
      </x:c>
      <x:c r="H86" s="3" t="str">
        <x:v>한국사2</x:v>
      </x:c>
      <x:c r="I86" s="48" t="n">
        <x:v>3</x:v>
      </x:c>
      <x:c r="J86" s="48" t="n">
        <x:v>12</x:v>
      </x:c>
      <x:c r="K86" s="48" t="n">
        <x:f>I86*J86</x:f>
        <x:v>36</x:v>
      </x:c>
      <x:c r="L86" s="3" t="str">
        <x:v>학급 수 적용</x:v>
      </x:c>
      <x:c r="M86" s="3"/>
      <x:c r="N86" s="3" t="str">
        <x:v>① 2027 입학생 편제표 12행 / 학급 수 조건</x:v>
      </x:c>
    </x:row>
    <x:row r="87" ht="25" customHeight="1">
      <x:c r="A87" s="3"/>
      <x:c r="B87" s="18" t="n">
        <x:v>2028</x:v>
      </x:c>
      <x:c r="C87" s="18" t="n">
        <x:v>2</x:v>
      </x:c>
      <x:c r="D87" s="18" t="n">
        <x:v>1</x:v>
      </x:c>
      <x:c r="E87" s="18" t="n">
        <x:v>2028</x:v>
      </x:c>
      <x:c r="F87" s="3" t="str">
        <x:v>통합사회</x:v>
      </x:c>
      <x:c r="G87" s="3" t="str">
        <x:v>사회 공통</x:v>
      </x:c>
      <x:c r="H87" s="3" t="str">
        <x:v>통합사회2</x:v>
      </x:c>
      <x:c r="I87" s="48" t="n">
        <x:v>4</x:v>
      </x:c>
      <x:c r="J87" s="48" t="n">
        <x:v>12</x:v>
      </x:c>
      <x:c r="K87" s="48" t="n">
        <x:f>I87*J87</x:f>
        <x:v>48</x:v>
      </x:c>
      <x:c r="L87" s="3" t="str">
        <x:v>학급 수 적용</x:v>
      </x:c>
      <x:c r="M87" s="3"/>
      <x:c r="N87" s="3" t="str">
        <x:v>① 2027 입학생 편제표 13행 / 학급 수 조건</x:v>
      </x:c>
    </x:row>
    <x:row r="88" ht="25" customHeight="1">
      <x:c r="A88" s="3"/>
      <x:c r="B88" s="18" t="n">
        <x:v>2028</x:v>
      </x:c>
      <x:c r="C88" s="18" t="n">
        <x:v>2</x:v>
      </x:c>
      <x:c r="D88" s="18" t="n">
        <x:v>1</x:v>
      </x:c>
      <x:c r="E88" s="18" t="n">
        <x:v>2028</x:v>
      </x:c>
      <x:c r="F88" s="3" t="str">
        <x:v>통합과학</x:v>
      </x:c>
      <x:c r="G88" s="3" t="str">
        <x:v>과학 공통·융합</x:v>
      </x:c>
      <x:c r="H88" s="3" t="str">
        <x:v>통합과학2</x:v>
      </x:c>
      <x:c r="I88" s="48" t="n">
        <x:v>4</x:v>
      </x:c>
      <x:c r="J88" s="48" t="n">
        <x:v>12</x:v>
      </x:c>
      <x:c r="K88" s="48" t="n">
        <x:f>I88*J88</x:f>
        <x:v>48</x:v>
      </x:c>
      <x:c r="L88" s="3" t="str">
        <x:v>학급 수 적용</x:v>
      </x:c>
      <x:c r="M88" s="3"/>
      <x:c r="N88" s="3" t="str">
        <x:v>① 2027 입학생 편제표 14행 / 학급 수 조건</x:v>
      </x:c>
    </x:row>
    <x:row r="89" ht="25" customHeight="1">
      <x:c r="A89" s="3"/>
      <x:c r="B89" s="18" t="n">
        <x:v>2028</x:v>
      </x:c>
      <x:c r="C89" s="18" t="n">
        <x:v>2</x:v>
      </x:c>
      <x:c r="D89" s="18" t="n">
        <x:v>1</x:v>
      </x:c>
      <x:c r="E89" s="18" t="n">
        <x:v>2028</x:v>
      </x:c>
      <x:c r="F89" s="3" t="str">
        <x:v>과학탐구실험</x:v>
      </x:c>
      <x:c r="G89" s="3" t="str">
        <x:v>과학 공통·융합</x:v>
      </x:c>
      <x:c r="H89" s="3" t="str">
        <x:v>과학탐구실험2</x:v>
      </x:c>
      <x:c r="I89" s="48" t="n">
        <x:v>1</x:v>
      </x:c>
      <x:c r="J89" s="48" t="n">
        <x:v>12</x:v>
      </x:c>
      <x:c r="K89" s="48" t="n">
        <x:f>I89*J89</x:f>
        <x:v>12</x:v>
      </x:c>
      <x:c r="L89" s="3" t="str">
        <x:v>학급 수 적용</x:v>
      </x:c>
      <x:c r="M89" s="3"/>
      <x:c r="N89" s="3" t="str">
        <x:v>① 2027 입학생 편제표 15행 / 학급 수 조건</x:v>
      </x:c>
    </x:row>
    <x:row r="90" ht="25" customHeight="1">
      <x:c r="A90" s="3"/>
      <x:c r="B90" s="18" t="n">
        <x:v>2028</x:v>
      </x:c>
      <x:c r="C90" s="18" t="n">
        <x:v>2</x:v>
      </x:c>
      <x:c r="D90" s="18" t="n">
        <x:v>2</x:v>
      </x:c>
      <x:c r="E90" s="18" t="n">
        <x:v>2027</x:v>
      </x:c>
      <x:c r="F90" s="3" t="str">
        <x:v>역사</x:v>
      </x:c>
      <x:c r="G90" s="3" t="str">
        <x:v>역사</x:v>
      </x:c>
      <x:c r="H90" s="3" t="str">
        <x:v>동아시아 역사 기행</x:v>
      </x:c>
      <x:c r="I90" s="48" t="n">
        <x:v>3</x:v>
      </x:c>
      <x:c r="J90" s="48" t="n">
        <x:f>'경제 수요 보정'!K79</x:f>
        <x:v>2</x:v>
      </x:c>
      <x:c r="K90" s="48" t="n">
        <x:f>I90*J90</x:f>
        <x:v>6</x:v>
      </x:c>
      <x:c r="L90" s="3" t="str">
        <x:v>경제·윤리 수요 보정·총반수 조정</x:v>
      </x:c>
      <x:c r="M90" s="3"/>
      <x:c r="N90" s="3" t="str">
        <x:v>① 2027 입학생 편제표 27행 / ② 1학년=&gt;2학년!X24 / 경제 수요 보정!K79</x:v>
      </x:c>
    </x:row>
    <x:row r="91" ht="25" customHeight="1">
      <x:c r="A91" s="3"/>
      <x:c r="B91" s="18" t="n">
        <x:v>2028</x:v>
      </x:c>
      <x:c r="C91" s="18" t="n">
        <x:v>2</x:v>
      </x:c>
      <x:c r="D91" s="18" t="n">
        <x:v>2</x:v>
      </x:c>
      <x:c r="E91" s="18" t="n">
        <x:v>2027</x:v>
      </x:c>
      <x:c r="F91" s="3" t="str">
        <x:v>일반사회</x:v>
      </x:c>
      <x:c r="G91" s="3" t="str">
        <x:v>일반사회</x:v>
      </x:c>
      <x:c r="H91" s="3" t="str">
        <x:v>법과 사회</x:v>
      </x:c>
      <x:c r="I91" s="48" t="n">
        <x:v>3</x:v>
      </x:c>
      <x:c r="J91" s="48" t="n">
        <x:f>'경제 수요 보정'!K78</x:f>
        <x:v>5</x:v>
      </x:c>
      <x:c r="K91" s="48" t="n">
        <x:f>I91*J91</x:f>
        <x:v>15</x:v>
      </x:c>
      <x:c r="L91" s="3" t="str">
        <x:v>경제·윤리 수요 보정·총반수 조정</x:v>
      </x:c>
      <x:c r="M91" s="3"/>
      <x:c r="N91" s="3" t="str">
        <x:v>① 2027 입학생 편제표 27행 / ② 1학년=&gt;2학년!X23 / 경제 수요 보정!K78</x:v>
      </x:c>
    </x:row>
    <x:row r="92" ht="25" customHeight="1">
      <x:c r="A92" s="3"/>
      <x:c r="B92" s="18" t="n">
        <x:v>2028</x:v>
      </x:c>
      <x:c r="C92" s="18" t="n">
        <x:v>2</x:v>
      </x:c>
      <x:c r="D92" s="18" t="n">
        <x:v>2</x:v>
      </x:c>
      <x:c r="E92" s="18" t="n">
        <x:v>2027</x:v>
      </x:c>
      <x:c r="F92" s="3" t="str">
        <x:v>윤리</x:v>
      </x:c>
      <x:c r="G92" s="3" t="str">
        <x:v>윤리</x:v>
      </x:c>
      <x:c r="H92" s="3" t="str">
        <x:v>윤리와 사상</x:v>
      </x:c>
      <x:c r="I92" s="48" t="n">
        <x:v>3</x:v>
      </x:c>
      <x:c r="J92" s="48" t="n">
        <x:f>'경제 수요 보정'!K76</x:f>
        <x:v>5</x:v>
      </x:c>
      <x:c r="K92" s="48" t="n">
        <x:f>I92*J92</x:f>
        <x:v>15</x:v>
      </x:c>
      <x:c r="L92" s="3" t="str">
        <x:v>경제·윤리 수요 보정·총반수 조정</x:v>
      </x:c>
      <x:c r="M92" s="3"/>
      <x:c r="N92" s="3" t="str">
        <x:v>① 2027 입학생 편제표 27행 / ② 1학년=&gt;2학년!X21 / 경제 수요 보정!K76</x:v>
      </x:c>
    </x:row>
    <x:row r="93" ht="25" customHeight="1">
      <x:c r="A93" s="3"/>
      <x:c r="B93" s="18" t="n">
        <x:v>2028</x:v>
      </x:c>
      <x:c r="C93" s="18" t="n">
        <x:v>2</x:v>
      </x:c>
      <x:c r="D93" s="18" t="n">
        <x:v>2</x:v>
      </x:c>
      <x:c r="E93" s="18" t="n">
        <x:v>2027</x:v>
      </x:c>
      <x:c r="F93" s="3" t="str">
        <x:v>일반사회</x:v>
      </x:c>
      <x:c r="G93" s="3" t="str">
        <x:v>일반사회</x:v>
      </x:c>
      <x:c r="H93" s="3" t="str">
        <x:v>정치</x:v>
      </x:c>
      <x:c r="I93" s="48" t="n">
        <x:v>3</x:v>
      </x:c>
      <x:c r="J93" s="48" t="n">
        <x:f>'경제 수요 보정'!K77</x:f>
        <x:v>4</x:v>
      </x:c>
      <x:c r="K93" s="48" t="n">
        <x:f>I93*J93</x:f>
        <x:v>12</x:v>
      </x:c>
      <x:c r="L93" s="3" t="str">
        <x:v>경제·윤리 수요 보정·총반수 조정</x:v>
      </x:c>
      <x:c r="M93" s="3"/>
      <x:c r="N93" s="3" t="str">
        <x:v>① 2027 입학생 편제표 27행 / ② 1학년=&gt;2학년!X22 / 경제 수요 보정!K77</x:v>
      </x:c>
    </x:row>
    <x:row r="94" ht="25" customHeight="1">
      <x:c r="A94" s="3"/>
      <x:c r="B94" s="18" t="n">
        <x:v>2028</x:v>
      </x:c>
      <x:c r="C94" s="18" t="n">
        <x:v>2</x:v>
      </x:c>
      <x:c r="D94" s="18" t="n">
        <x:v>2</x:v>
      </x:c>
      <x:c r="E94" s="18" t="n">
        <x:v>2027</x:v>
      </x:c>
      <x:c r="F94" s="3" t="str">
        <x:v>지리</x:v>
      </x:c>
      <x:c r="G94" s="3" t="str">
        <x:v>지리</x:v>
      </x:c>
      <x:c r="H94" s="3" t="str">
        <x:v>한국지리 탐구</x:v>
      </x:c>
      <x:c r="I94" s="48" t="n">
        <x:v>3</x:v>
      </x:c>
      <x:c r="J94" s="48" t="n">
        <x:f>'경제 수요 보정'!K75</x:f>
        <x:v>2</x:v>
      </x:c>
      <x:c r="K94" s="48" t="n">
        <x:f>I94*J94</x:f>
        <x:v>6</x:v>
      </x:c>
      <x:c r="L94" s="3" t="str">
        <x:v>경제·윤리 수요 보정·총반수 조정</x:v>
      </x:c>
      <x:c r="M94" s="3"/>
      <x:c r="N94" s="3" t="str">
        <x:v>① 2027 입학생 편제표 27행 / ② 1학년=&gt;2학년!X20 / 경제 수요 보정!K75</x:v>
      </x:c>
    </x:row>
    <x:row r="95" ht="25" customHeight="1">
      <x:c r="A95" s="3"/>
      <x:c r="B95" s="18" t="n">
        <x:v>2028</x:v>
      </x:c>
      <x:c r="C95" s="18" t="n">
        <x:v>2</x:v>
      </x:c>
      <x:c r="D95" s="18" t="n">
        <x:v>2</x:v>
      </x:c>
      <x:c r="E95" s="18" t="n">
        <x:v>2027</x:v>
      </x:c>
      <x:c r="F95" s="3" t="str">
        <x:v>지구과학</x:v>
      </x:c>
      <x:c r="G95" s="3" t="str">
        <x:v>지구과학</x:v>
      </x:c>
      <x:c r="H95" s="3" t="str">
        <x:v>지구과학</x:v>
      </x:c>
      <x:c r="I95" s="48" t="n">
        <x:v>3</x:v>
      </x:c>
      <x:c r="J95" s="48" t="n">
        <x:f>'경제 수요 보정'!K80</x:f>
        <x:v>4</x:v>
      </x:c>
      <x:c r="K95" s="48" t="n">
        <x:f>I95*J95</x:f>
        <x:v>12</x:v>
      </x:c>
      <x:c r="L95" s="3" t="str">
        <x:v>경제·윤리 수요 보정·총반수 조정</x:v>
      </x:c>
      <x:c r="M95" s="3"/>
      <x:c r="N95" s="3" t="str">
        <x:v>① 2027 입학생 편제표 28행 / ② 1학년=&gt;2학년!X13 / 경제 수요 보정!K80</x:v>
      </x:c>
    </x:row>
    <x:row r="96" ht="25" customHeight="1">
      <x:c r="A96" s="3"/>
      <x:c r="B96" s="18" t="n">
        <x:v>2028</x:v>
      </x:c>
      <x:c r="C96" s="18" t="n">
        <x:v>2</x:v>
      </x:c>
      <x:c r="D96" s="18" t="n">
        <x:v>2</x:v>
      </x:c>
      <x:c r="E96" s="18" t="n">
        <x:v>2027</x:v>
      </x:c>
      <x:c r="F96" s="3" t="str">
        <x:v>생물</x:v>
      </x:c>
      <x:c r="G96" s="3" t="str">
        <x:v>생명과학</x:v>
      </x:c>
      <x:c r="H96" s="3" t="str">
        <x:v>생물의 유전</x:v>
      </x:c>
      <x:c r="I96" s="48" t="n">
        <x:v>3</x:v>
      </x:c>
      <x:c r="J96" s="48" t="n">
        <x:f>'경제 수요 보정'!K83</x:f>
        <x:v>4</x:v>
      </x:c>
      <x:c r="K96" s="48" t="n">
        <x:f>I96*J96</x:f>
        <x:v>12</x:v>
      </x:c>
      <x:c r="L96" s="3" t="str">
        <x:v>경제·윤리 수요 보정·총반수 조정</x:v>
      </x:c>
      <x:c r="M96" s="3"/>
      <x:c r="N96" s="3" t="str">
        <x:v>① 2027 입학생 편제표 29행 / ② 1학년=&gt;2학년!X27 / 경제 수요 보정!K83</x:v>
      </x:c>
    </x:row>
    <x:row r="97" ht="25" customHeight="1">
      <x:c r="A97" s="3"/>
      <x:c r="B97" s="18" t="n">
        <x:v>2028</x:v>
      </x:c>
      <x:c r="C97" s="18" t="n">
        <x:v>2</x:v>
      </x:c>
      <x:c r="D97" s="18" t="n">
        <x:v>2</x:v>
      </x:c>
      <x:c r="E97" s="18" t="n">
        <x:v>2027</x:v>
      </x:c>
      <x:c r="F97" s="3" t="str">
        <x:v>물리</x:v>
      </x:c>
      <x:c r="G97" s="3" t="str">
        <x:v>물리학</x:v>
      </x:c>
      <x:c r="H97" s="3" t="str">
        <x:v>역학과 에너지</x:v>
      </x:c>
      <x:c r="I97" s="48" t="n">
        <x:v>3</x:v>
      </x:c>
      <x:c r="J97" s="48" t="n">
        <x:f>'경제 수요 보정'!K81</x:f>
        <x:v>4</x:v>
      </x:c>
      <x:c r="K97" s="48" t="n">
        <x:f>I97*J97</x:f>
        <x:v>12</x:v>
      </x:c>
      <x:c r="L97" s="3" t="str">
        <x:v>경제·윤리 수요 보정·총반수 조정</x:v>
      </x:c>
      <x:c r="M97" s="3"/>
      <x:c r="N97" s="3" t="str">
        <x:v>① 2027 입학생 편제표 29행 / ② 1학년=&gt;2학년!X26 / 경제 수요 보정!K81</x:v>
      </x:c>
    </x:row>
    <x:row r="98" ht="25" customHeight="1">
      <x:c r="A98" s="3"/>
      <x:c r="B98" s="18" t="n">
        <x:v>2028</x:v>
      </x:c>
      <x:c r="C98" s="18" t="n">
        <x:v>2</x:v>
      </x:c>
      <x:c r="D98" s="18" t="n">
        <x:v>2</x:v>
      </x:c>
      <x:c r="E98" s="18" t="n">
        <x:v>2027</x:v>
      </x:c>
      <x:c r="F98" s="3" t="str">
        <x:v>지구과학</x:v>
      </x:c>
      <x:c r="G98" s="3" t="str">
        <x:v>지구과학</x:v>
      </x:c>
      <x:c r="H98" s="3" t="str">
        <x:v>행성우주과학</x:v>
      </x:c>
      <x:c r="I98" s="48" t="n">
        <x:v>3</x:v>
      </x:c>
      <x:c r="J98" s="48" t="n">
        <x:f>'경제 수요 보정'!K84</x:f>
        <x:v>1</x:v>
      </x:c>
      <x:c r="K98" s="48" t="n">
        <x:f>I98*J98</x:f>
        <x:v>3</x:v>
      </x:c>
      <x:c r="L98" s="3" t="str">
        <x:v>경제·윤리 수요 보정·총반수 조정</x:v>
      </x:c>
      <x:c r="M98" s="3"/>
      <x:c r="N98" s="3" t="str">
        <x:v>① 2027 입학생 편제표 29행 / ② 1학년=&gt;2학년!X28 / 경제 수요 보정!K84</x:v>
      </x:c>
    </x:row>
    <x:row r="99" ht="25" customHeight="1">
      <x:c r="A99" s="3"/>
      <x:c r="B99" s="18" t="n">
        <x:v>2028</x:v>
      </x:c>
      <x:c r="C99" s="18" t="n">
        <x:v>2</x:v>
      </x:c>
      <x:c r="D99" s="18" t="n">
        <x:v>2</x:v>
      </x:c>
      <x:c r="E99" s="18" t="n">
        <x:v>2027</x:v>
      </x:c>
      <x:c r="F99" s="3" t="str">
        <x:v>화학</x:v>
      </x:c>
      <x:c r="G99" s="3" t="str">
        <x:v>화학</x:v>
      </x:c>
      <x:c r="H99" s="3" t="str">
        <x:v>화학 반응의 세계</x:v>
      </x:c>
      <x:c r="I99" s="48" t="n">
        <x:v>3</x:v>
      </x:c>
      <x:c r="J99" s="48" t="n">
        <x:f>'경제 수요 보정'!K82</x:f>
        <x:v>5</x:v>
      </x:c>
      <x:c r="K99" s="48" t="n">
        <x:f>I99*J99</x:f>
        <x:v>15</x:v>
      </x:c>
      <x:c r="L99" s="3" t="str">
        <x:v>경제·윤리 수요 보정·총반수 조정</x:v>
      </x:c>
      <x:c r="M99" s="3"/>
      <x:c r="N99" s="3" t="str">
        <x:v>① 2027 입학생 편제표 29행 / ② 2학년=&gt;3학년!X21 / 경제 수요 보정!K82</x:v>
      </x:c>
    </x:row>
    <x:row r="100" ht="25" customHeight="1">
      <x:c r="A100" s="3"/>
      <x:c r="B100" s="18" t="n">
        <x:v>2028</x:v>
      </x:c>
      <x:c r="C100" s="18" t="n">
        <x:v>2</x:v>
      </x:c>
      <x:c r="D100" s="18" t="n">
        <x:v>3</x:v>
      </x:c>
      <x:c r="E100" s="18" t="n">
        <x:v>2026</x:v>
      </x:c>
      <x:c r="F100" s="3" t="str">
        <x:v>사회 융합</x:v>
      </x:c>
      <x:c r="G100" s="3" t="str">
        <x:v>일반사회</x:v>
      </x:c>
      <x:c r="H100" s="3" t="str">
        <x:v>금융과 경제생활</x:v>
      </x:c>
      <x:c r="I100" s="48" t="n">
        <x:v>3</x:v>
      </x:c>
      <x:c r="J100" s="48" t="n">
        <x:v>6</x:v>
      </x:c>
      <x:c r="K100" s="48" t="n">
        <x:f>I100*J100</x:f>
        <x:v>18</x:v>
      </x:c>
      <x:c r="L100" s="3" t="str">
        <x:v>선택 비율·총반수 조정</x:v>
      </x:c>
      <x:c r="M100" s="3"/>
      <x:c r="N100" s="3" t="str">
        <x:v>① 2026 입학생 편제표 44행 / ② 2학년=&gt;3학년!X44</x:v>
      </x:c>
    </x:row>
    <x:row r="101" ht="25" customHeight="1">
      <x:c r="A101" s="3"/>
      <x:c r="B101" s="18" t="n">
        <x:v>2028</x:v>
      </x:c>
      <x:c r="C101" s="18" t="n">
        <x:v>2</x:v>
      </x:c>
      <x:c r="D101" s="18" t="n">
        <x:v>3</x:v>
      </x:c>
      <x:c r="E101" s="18" t="n">
        <x:v>2026</x:v>
      </x:c>
      <x:c r="F101" s="3" t="str">
        <x:v>사회 융합</x:v>
      </x:c>
      <x:c r="G101" s="3" t="str">
        <x:v>지리</x:v>
      </x:c>
      <x:c r="H101" s="3" t="str">
        <x:v>여행지리</x:v>
      </x:c>
      <x:c r="I101" s="48" t="n">
        <x:v>3</x:v>
      </x:c>
      <x:c r="J101" s="48" t="n">
        <x:v>9</x:v>
      </x:c>
      <x:c r="K101" s="48" t="n">
        <x:f>I101*J101</x:f>
        <x:v>27</x:v>
      </x:c>
      <x:c r="L101" s="3" t="str">
        <x:v>선택 비율·총반수 조정</x:v>
      </x:c>
      <x:c r="M101" s="3"/>
      <x:c r="N101" s="3" t="str">
        <x:v>① 2026 입학생 편제표 44행 / ② 2학년=&gt;3학년!X42</x:v>
      </x:c>
    </x:row>
    <x:row r="102" ht="25" customHeight="1">
      <x:c r="A102" s="3"/>
      <x:c r="B102" s="18" t="n">
        <x:v>2028</x:v>
      </x:c>
      <x:c r="C102" s="18" t="n">
        <x:v>2</x:v>
      </x:c>
      <x:c r="D102" s="18" t="n">
        <x:v>3</x:v>
      </x:c>
      <x:c r="E102" s="18" t="n">
        <x:v>2026</x:v>
      </x:c>
      <x:c r="F102" s="3" t="str">
        <x:v>사회 융합</x:v>
      </x:c>
      <x:c r="G102" s="3" t="str">
        <x:v>윤리</x:v>
      </x:c>
      <x:c r="H102" s="3" t="str">
        <x:v>윤리문제 탐구</x:v>
      </x:c>
      <x:c r="I102" s="48" t="n">
        <x:v>3</x:v>
      </x:c>
      <x:c r="J102" s="48" t="n">
        <x:v>4</x:v>
      </x:c>
      <x:c r="K102" s="48" t="n">
        <x:f>I102*J102</x:f>
        <x:v>12</x:v>
      </x:c>
      <x:c r="L102" s="3" t="str">
        <x:v>선택 비율·총반수 조정</x:v>
      </x:c>
      <x:c r="M102" s="3"/>
      <x:c r="N102" s="3" t="str">
        <x:v>① 2026 입학생 편제표 44행 / ② 2학년=&gt;3학년!X16</x:v>
      </x:c>
    </x:row>
    <x:row r="103" ht="25" customHeight="1">
      <x:c r="A103" s="3"/>
      <x:c r="B103" s="18" t="n">
        <x:v>2028</x:v>
      </x:c>
      <x:c r="C103" s="18" t="n">
        <x:v>2</x:v>
      </x:c>
      <x:c r="D103" s="18" t="n">
        <x:v>3</x:v>
      </x:c>
      <x:c r="E103" s="18" t="n">
        <x:v>2026</x:v>
      </x:c>
      <x:c r="F103" s="3" t="str">
        <x:v>과학 융합</x:v>
      </x:c>
      <x:c r="G103" s="3" t="str">
        <x:v>과학 공통·융합</x:v>
      </x:c>
      <x:c r="H103" s="3" t="str">
        <x:v>과학의 역사와 문화</x:v>
      </x:c>
      <x:c r="I103" s="48" t="n">
        <x:v>3</x:v>
      </x:c>
      <x:c r="J103" s="48" t="n">
        <x:v>10</x:v>
      </x:c>
      <x:c r="K103" s="48" t="n">
        <x:f>I103*J103</x:f>
        <x:v>30</x:v>
      </x:c>
      <x:c r="L103" s="3" t="str">
        <x:v>선택 비율·총반수 조정</x:v>
      </x:c>
      <x:c r="M103" s="3"/>
      <x:c r="N103" s="3" t="str">
        <x:v>① 2026 입학생 편제표 45행 / ② 2학년=&gt;3학년!X50</x:v>
      </x:c>
    </x:row>
    <x:row r="104" ht="25" customHeight="1">
      <x:c r="A104" s="3"/>
      <x:c r="B104" s="18" t="n">
        <x:v>2028</x:v>
      </x:c>
      <x:c r="C104" s="18" t="n">
        <x:v>2</x:v>
      </x:c>
      <x:c r="D104" s="18" t="n">
        <x:v>3</x:v>
      </x:c>
      <x:c r="E104" s="18" t="n">
        <x:v>2026</x:v>
      </x:c>
      <x:c r="F104" s="3" t="str">
        <x:v>과학 융합</x:v>
      </x:c>
      <x:c r="G104" s="3" t="str">
        <x:v>과학 공통·융합</x:v>
      </x:c>
      <x:c r="H104" s="3" t="str">
        <x:v>기후변화와 환경생태</x:v>
      </x:c>
      <x:c r="I104" s="48" t="n">
        <x:v>3</x:v>
      </x:c>
      <x:c r="J104" s="48" t="n">
        <x:v>13</x:v>
      </x:c>
      <x:c r="K104" s="48" t="n">
        <x:f>I104*J104</x:f>
        <x:v>39</x:v>
      </x:c>
      <x:c r="L104" s="3" t="str">
        <x:v>선택 비율·총반수 조정</x:v>
      </x:c>
      <x:c r="M104" s="3"/>
      <x:c r="N104" s="3" t="str">
        <x:v>① 2026 입학생 편제표 45행 / ② 2학년=&gt;3학년!X49</x:v>
      </x:c>
    </x:row>
    <x:row r="105" ht="25" customHeight="1">
      <x:c r="A105" s="3"/>
      <x:c r="B105" s="18" t="n">
        <x:v>2028</x:v>
      </x:c>
      <x:c r="C105" s="18" t="n">
        <x:v>2</x:v>
      </x:c>
      <x:c r="D105" s="18" t="n">
        <x:v>3</x:v>
      </x:c>
      <x:c r="E105" s="18" t="n">
        <x:v>2026</x:v>
      </x:c>
      <x:c r="F105" s="3" t="str">
        <x:v>과학 융합</x:v>
      </x:c>
      <x:c r="G105" s="3" t="str">
        <x:v>과학 공통·융합</x:v>
      </x:c>
      <x:c r="H105" s="3" t="str">
        <x:v>융합과학 탐구</x:v>
      </x:c>
      <x:c r="I105" s="48" t="n">
        <x:v>3</x:v>
      </x:c>
      <x:c r="J105" s="48" t="n">
        <x:v>10</x:v>
      </x:c>
      <x:c r="K105" s="48" t="n">
        <x:f>I105*J105</x:f>
        <x:v>30</x:v>
      </x:c>
      <x:c r="L105" s="3" t="str">
        <x:v>선택 비율·총반수 조정</x:v>
      </x:c>
      <x:c r="M105" s="3"/>
      <x:c r="N105" s="3" t="str">
        <x:v>① 2026 입학생 편제표 45행 / ② 2학년=&gt;3학년!X51</x:v>
      </x:c>
    </x:row>
    <x:row r="106" ht="25" customHeight="1">
      <x:c r="A106" s="3"/>
      <x:c r="B106" s="18" t="n">
        <x:v>2029</x:v>
      </x:c>
      <x:c r="C106" s="18" t="n">
        <x:v>1</x:v>
      </x:c>
      <x:c r="D106" s="18" t="n">
        <x:v>1</x:v>
      </x:c>
      <x:c r="E106" s="18" t="n">
        <x:v>2029</x:v>
      </x:c>
      <x:c r="F106" s="3" t="str">
        <x:v>역사</x:v>
      </x:c>
      <x:c r="G106" s="3" t="str">
        <x:v>역사</x:v>
      </x:c>
      <x:c r="H106" s="3" t="str">
        <x:v>한국사1</x:v>
      </x:c>
      <x:c r="I106" s="48" t="n">
        <x:f>'산정근거'!G28</x:f>
        <x:v>3</x:v>
      </x:c>
      <x:c r="J106" s="48" t="n">
        <x:f>'산정근거'!H28</x:f>
        <x:v>12</x:v>
      </x:c>
      <x:c r="K106" s="48" t="n">
        <x:f>I106*J106</x:f>
        <x:v>36</x:v>
      </x:c>
      <x:c r="L106" s="3" t="str">
        <x:v>학급 수 적용</x:v>
      </x:c>
      <x:c r="M106" s="3"/>
      <x:c r="N106" s="3" t="str">
        <x:v>① 2027 입학생 편제표 12행 / 학급 수 조건</x:v>
      </x:c>
    </x:row>
    <x:row r="107" ht="25" customHeight="1">
      <x:c r="A107" s="3"/>
      <x:c r="B107" s="18" t="n">
        <x:v>2029</x:v>
      </x:c>
      <x:c r="C107" s="18" t="n">
        <x:v>1</x:v>
      </x:c>
      <x:c r="D107" s="18" t="n">
        <x:v>1</x:v>
      </x:c>
      <x:c r="E107" s="18" t="n">
        <x:v>2029</x:v>
      </x:c>
      <x:c r="F107" s="3" t="str">
        <x:v>통합사회</x:v>
      </x:c>
      <x:c r="G107" s="3" t="str">
        <x:v>사회 공통</x:v>
      </x:c>
      <x:c r="H107" s="3" t="str">
        <x:v>통합사회1</x:v>
      </x:c>
      <x:c r="I107" s="48" t="n">
        <x:f>'산정근거'!G29</x:f>
        <x:v>4</x:v>
      </x:c>
      <x:c r="J107" s="48" t="n">
        <x:f>'산정근거'!H29</x:f>
        <x:v>12</x:v>
      </x:c>
      <x:c r="K107" s="48" t="n">
        <x:f>I107*J107</x:f>
        <x:v>48</x:v>
      </x:c>
      <x:c r="L107" s="3" t="str">
        <x:v>학급 수 적용</x:v>
      </x:c>
      <x:c r="M107" s="3"/>
      <x:c r="N107" s="3" t="str">
        <x:v>① 2027 입학생 편제표 13행 / 학급 수 조건</x:v>
      </x:c>
    </x:row>
    <x:row r="108" ht="25" customHeight="1">
      <x:c r="A108" s="3"/>
      <x:c r="B108" s="18" t="n">
        <x:v>2029</x:v>
      </x:c>
      <x:c r="C108" s="18" t="n">
        <x:v>1</x:v>
      </x:c>
      <x:c r="D108" s="18" t="n">
        <x:v>1</x:v>
      </x:c>
      <x:c r="E108" s="18" t="n">
        <x:v>2029</x:v>
      </x:c>
      <x:c r="F108" s="3" t="str">
        <x:v>통합과학</x:v>
      </x:c>
      <x:c r="G108" s="3" t="str">
        <x:v>과학 공통·융합</x:v>
      </x:c>
      <x:c r="H108" s="3" t="str">
        <x:v>통합과학1</x:v>
      </x:c>
      <x:c r="I108" s="48" t="n">
        <x:f>'산정근거'!G30</x:f>
        <x:v>4</x:v>
      </x:c>
      <x:c r="J108" s="48" t="n">
        <x:f>'산정근거'!H30</x:f>
        <x:v>12</x:v>
      </x:c>
      <x:c r="K108" s="48" t="n">
        <x:f>I108*J108</x:f>
        <x:v>48</x:v>
      </x:c>
      <x:c r="L108" s="3" t="str">
        <x:v>학급 수 적용</x:v>
      </x:c>
      <x:c r="M108" s="3"/>
      <x:c r="N108" s="3" t="str">
        <x:v>① 2027 입학생 편제표 14행 / 학급 수 조건</x:v>
      </x:c>
    </x:row>
    <x:row r="109" ht="25" customHeight="1">
      <x:c r="A109" s="3"/>
      <x:c r="B109" s="18" t="n">
        <x:v>2029</x:v>
      </x:c>
      <x:c r="C109" s="18" t="n">
        <x:v>1</x:v>
      </x:c>
      <x:c r="D109" s="18" t="n">
        <x:v>1</x:v>
      </x:c>
      <x:c r="E109" s="18" t="n">
        <x:v>2029</x:v>
      </x:c>
      <x:c r="F109" s="3" t="str">
        <x:v>과학탐구실험</x:v>
      </x:c>
      <x:c r="G109" s="3" t="str">
        <x:v>과학 공통·융합</x:v>
      </x:c>
      <x:c r="H109" s="3" t="str">
        <x:v>과학탐구실험1</x:v>
      </x:c>
      <x:c r="I109" s="48" t="n">
        <x:f>'산정근거'!G31</x:f>
        <x:v>1</x:v>
      </x:c>
      <x:c r="J109" s="48" t="n">
        <x:f>'산정근거'!H31</x:f>
        <x:v>12</x:v>
      </x:c>
      <x:c r="K109" s="48" t="n">
        <x:f>I109*J109</x:f>
        <x:v>12</x:v>
      </x:c>
      <x:c r="L109" s="3" t="str">
        <x:v>학급 수 적용</x:v>
      </x:c>
      <x:c r="M109" s="3"/>
      <x:c r="N109" s="3" t="str">
        <x:v>① 2027 입학생 편제표 15행 / 학급 수 조건</x:v>
      </x:c>
    </x:row>
    <x:row r="110" ht="25" customHeight="1">
      <x:c r="A110" s="3"/>
      <x:c r="B110" s="18" t="n">
        <x:v>2029</x:v>
      </x:c>
      <x:c r="C110" s="18" t="n">
        <x:v>1</x:v>
      </x:c>
      <x:c r="D110" s="18" t="n">
        <x:v>2</x:v>
      </x:c>
      <x:c r="E110" s="18" t="n">
        <x:v>2028</x:v>
      </x:c>
      <x:c r="F110" s="3" t="str">
        <x:v>일반사회</x:v>
      </x:c>
      <x:c r="G110" s="3" t="str">
        <x:v>일반사회</x:v>
      </x:c>
      <x:c r="H110" s="3" t="str">
        <x:v>사회와 문화</x:v>
      </x:c>
      <x:c r="I110" s="48" t="n">
        <x:f>'산정근거'!G44</x:f>
        <x:v>3</x:v>
      </x:c>
      <x:c r="J110" s="48" t="n">
        <x:f>'산정근거'!H44</x:f>
        <x:v>6</x:v>
      </x:c>
      <x:c r="K110" s="48" t="n">
        <x:f>I110*J110</x:f>
        <x:v>18</x:v>
      </x:c>
      <x:c r="L110" s="3" t="str">
        <x:v>선택 비율·총반수 조정</x:v>
      </x:c>
      <x:c r="M110" s="3"/>
      <x:c r="N110" s="3" t="str">
        <x:v>① 2027 입학생 편제표 24행 / ② 1학년=&gt;2학년!X9</x:v>
      </x:c>
    </x:row>
    <x:row r="111" ht="25" customHeight="1">
      <x:c r="A111" s="3"/>
      <x:c r="B111" s="18" t="n">
        <x:v>2029</x:v>
      </x:c>
      <x:c r="C111" s="18" t="n">
        <x:v>1</x:v>
      </x:c>
      <x:c r="D111" s="18" t="n">
        <x:v>2</x:v>
      </x:c>
      <x:c r="E111" s="18" t="n">
        <x:v>2028</x:v>
      </x:c>
      <x:c r="F111" s="3" t="str">
        <x:v>역사</x:v>
      </x:c>
      <x:c r="G111" s="3" t="str">
        <x:v>역사</x:v>
      </x:c>
      <x:c r="H111" s="3" t="str">
        <x:v>세계사</x:v>
      </x:c>
      <x:c r="I111" s="48" t="n">
        <x:f>'산정근거'!G43</x:f>
        <x:v>3</x:v>
      </x:c>
      <x:c r="J111" s="48" t="n">
        <x:f>'산정근거'!H43</x:f>
        <x:v>3</x:v>
      </x:c>
      <x:c r="K111" s="48" t="n">
        <x:f>I111*J111</x:f>
        <x:v>9</x:v>
      </x:c>
      <x:c r="L111" s="3" t="str">
        <x:v>선택 비율·총반수 조정</x:v>
      </x:c>
      <x:c r="M111" s="3"/>
      <x:c r="N111" s="3" t="str">
        <x:v>① 2027 입학생 편제표 24행 / ② 1학년=&gt;2학년!X8</x:v>
      </x:c>
    </x:row>
    <x:row r="112" ht="25" customHeight="1">
      <x:c r="A112" s="3"/>
      <x:c r="B112" s="18" t="n">
        <x:v>2029</x:v>
      </x:c>
      <x:c r="C112" s="18" t="n">
        <x:v>1</x:v>
      </x:c>
      <x:c r="D112" s="18" t="n">
        <x:v>2</x:v>
      </x:c>
      <x:c r="E112" s="18" t="n">
        <x:v>2028</x:v>
      </x:c>
      <x:c r="F112" s="3" t="str">
        <x:v>지리</x:v>
      </x:c>
      <x:c r="G112" s="3" t="str">
        <x:v>지리</x:v>
      </x:c>
      <x:c r="H112" s="3" t="str">
        <x:v>세계시민과 지리</x:v>
      </x:c>
      <x:c r="I112" s="48" t="n">
        <x:f>'산정근거'!G42</x:f>
        <x:v>3</x:v>
      </x:c>
      <x:c r="J112" s="48" t="n">
        <x:f>'산정근거'!H42</x:f>
        <x:v>3</x:v>
      </x:c>
      <x:c r="K112" s="48" t="n">
        <x:f>I112*J112</x:f>
        <x:v>9</x:v>
      </x:c>
      <x:c r="L112" s="3" t="str">
        <x:v>선택 비율·총반수 조정</x:v>
      </x:c>
      <x:c r="M112" s="3"/>
      <x:c r="N112" s="3" t="str">
        <x:v>① 2027 입학생 편제표 24행 / ② 1학년=&gt;2학년!X7</x:v>
      </x:c>
    </x:row>
    <x:row r="113" ht="25" customHeight="1">
      <x:c r="A113" s="3"/>
      <x:c r="B113" s="18" t="n">
        <x:v>2029</x:v>
      </x:c>
      <x:c r="C113" s="18" t="n">
        <x:v>1</x:v>
      </x:c>
      <x:c r="D113" s="18" t="n">
        <x:v>2</x:v>
      </x:c>
      <x:c r="E113" s="18" t="n">
        <x:v>2028</x:v>
      </x:c>
      <x:c r="F113" s="3" t="str">
        <x:v>윤리</x:v>
      </x:c>
      <x:c r="G113" s="3" t="str">
        <x:v>윤리</x:v>
      </x:c>
      <x:c r="H113" s="3" t="str">
        <x:v>현대사회와 윤리</x:v>
      </x:c>
      <x:c r="I113" s="48" t="n">
        <x:f>'산정근거'!G45</x:f>
        <x:v>3</x:v>
      </x:c>
      <x:c r="J113" s="48" t="n">
        <x:f>'산정근거'!H45</x:f>
        <x:v>6</x:v>
      </x:c>
      <x:c r="K113" s="48" t="n">
        <x:f>I113*J113</x:f>
        <x:v>18</x:v>
      </x:c>
      <x:c r="L113" s="3" t="str">
        <x:v>선택 비율·총반수 조정</x:v>
      </x:c>
      <x:c r="M113" s="3"/>
      <x:c r="N113" s="3" t="str">
        <x:v>① 2027 입학생 편제표 24행 / ② 1학년=&gt;2학년!X10</x:v>
      </x:c>
    </x:row>
    <x:row r="114" ht="25" customHeight="1">
      <x:c r="A114" s="3"/>
      <x:c r="B114" s="18" t="n">
        <x:v>2029</x:v>
      </x:c>
      <x:c r="C114" s="18" t="n">
        <x:v>1</x:v>
      </x:c>
      <x:c r="D114" s="18" t="n">
        <x:v>2</x:v>
      </x:c>
      <x:c r="E114" s="18" t="n">
        <x:v>2028</x:v>
      </x:c>
      <x:c r="F114" s="3" t="str">
        <x:v>물리</x:v>
      </x:c>
      <x:c r="G114" s="3" t="str">
        <x:v>물리학</x:v>
      </x:c>
      <x:c r="H114" s="3" t="str">
        <x:v>물리학</x:v>
      </x:c>
      <x:c r="I114" s="48" t="n">
        <x:f>'산정근거'!G46</x:f>
        <x:v>3</x:v>
      </x:c>
      <x:c r="J114" s="48" t="n">
        <x:f>'산정근거'!H46</x:f>
        <x:v>4</x:v>
      </x:c>
      <x:c r="K114" s="48" t="n">
        <x:f>I114*J114</x:f>
        <x:v>12</x:v>
      </x:c>
      <x:c r="L114" s="3" t="str">
        <x:v>선택 비율·총반수 조정</x:v>
      </x:c>
      <x:c r="M114" s="3"/>
      <x:c r="N114" s="3" t="str">
        <x:v>① 2027 입학생 편제표 25행 / ② 1학년=&gt;2학년!X11</x:v>
      </x:c>
    </x:row>
    <x:row r="115" ht="25" customHeight="1">
      <x:c r="A115" s="3"/>
      <x:c r="B115" s="18" t="n">
        <x:v>2029</x:v>
      </x:c>
      <x:c r="C115" s="18" t="n">
        <x:v>1</x:v>
      </x:c>
      <x:c r="D115" s="18" t="n">
        <x:v>2</x:v>
      </x:c>
      <x:c r="E115" s="18" t="n">
        <x:v>2028</x:v>
      </x:c>
      <x:c r="F115" s="3" t="str">
        <x:v>생물</x:v>
      </x:c>
      <x:c r="G115" s="3" t="str">
        <x:v>생명과학</x:v>
      </x:c>
      <x:c r="H115" s="3" t="str">
        <x:v>생명과학</x:v>
      </x:c>
      <x:c r="I115" s="48" t="n">
        <x:f>'산정근거'!G48</x:f>
        <x:v>3</x:v>
      </x:c>
      <x:c r="J115" s="48" t="n">
        <x:f>'산정근거'!H48</x:f>
        <x:v>5</x:v>
      </x:c>
      <x:c r="K115" s="48" t="n">
        <x:f>I115*J115</x:f>
        <x:v>15</x:v>
      </x:c>
      <x:c r="L115" s="3" t="str">
        <x:v>선택 비율·총반수 조정</x:v>
      </x:c>
      <x:c r="M115" s="3"/>
      <x:c r="N115" s="3" t="str">
        <x:v>① 2027 입학생 편제표 25행 / ② 1학년=&gt;2학년!X25</x:v>
      </x:c>
    </x:row>
    <x:row r="116" ht="25" customHeight="1">
      <x:c r="A116" s="3"/>
      <x:c r="B116" s="18" t="n">
        <x:v>2029</x:v>
      </x:c>
      <x:c r="C116" s="18" t="n">
        <x:v>1</x:v>
      </x:c>
      <x:c r="D116" s="18" t="n">
        <x:v>2</x:v>
      </x:c>
      <x:c r="E116" s="18" t="n">
        <x:v>2028</x:v>
      </x:c>
      <x:c r="F116" s="3" t="str">
        <x:v>지구과학</x:v>
      </x:c>
      <x:c r="G116" s="3" t="str">
        <x:v>지구과학</x:v>
      </x:c>
      <x:c r="H116" s="3" t="str">
        <x:v>지구과학</x:v>
      </x:c>
      <x:c r="I116" s="48" t="n">
        <x:f>'산정근거'!G49</x:f>
        <x:v>3</x:v>
      </x:c>
      <x:c r="J116" s="48" t="n">
        <x:f>'산정근거'!H49</x:f>
        <x:v>4</x:v>
      </x:c>
      <x:c r="K116" s="48" t="n">
        <x:f>I116*J116</x:f>
        <x:v>12</x:v>
      </x:c>
      <x:c r="L116" s="3" t="str">
        <x:v>선택 비율·총반수 조정</x:v>
      </x:c>
      <x:c r="M116" s="3"/>
      <x:c r="N116" s="3" t="str">
        <x:v>① 2027 입학생 편제표 25행 / ② 1학년=&gt;2학년!X13</x:v>
      </x:c>
    </x:row>
    <x:row r="117" ht="25" customHeight="1">
      <x:c r="A117" s="3"/>
      <x:c r="B117" s="18" t="n">
        <x:v>2029</x:v>
      </x:c>
      <x:c r="C117" s="18" t="n">
        <x:v>1</x:v>
      </x:c>
      <x:c r="D117" s="18" t="n">
        <x:v>2</x:v>
      </x:c>
      <x:c r="E117" s="18" t="n">
        <x:v>2028</x:v>
      </x:c>
      <x:c r="F117" s="3" t="str">
        <x:v>화학</x:v>
      </x:c>
      <x:c r="G117" s="3" t="str">
        <x:v>화학</x:v>
      </x:c>
      <x:c r="H117" s="3" t="str">
        <x:v>화학</x:v>
      </x:c>
      <x:c r="I117" s="48" t="n">
        <x:f>'산정근거'!G47</x:f>
        <x:v>3</x:v>
      </x:c>
      <x:c r="J117" s="48" t="n">
        <x:f>'산정근거'!H47</x:f>
        <x:v>5</x:v>
      </x:c>
      <x:c r="K117" s="48" t="n">
        <x:f>I117*J117</x:f>
        <x:v>15</x:v>
      </x:c>
      <x:c r="L117" s="3" t="str">
        <x:v>선택 비율·총반수 조정</x:v>
      </x:c>
      <x:c r="M117" s="3"/>
      <x:c r="N117" s="3" t="str">
        <x:v>① 2027 입학생 편제표 25행 / ② 1학년=&gt;2학년!X12</x:v>
      </x:c>
    </x:row>
    <x:row r="118" ht="25" customHeight="1">
      <x:c r="A118" s="3"/>
      <x:c r="B118" s="18" t="n">
        <x:v>2029</x:v>
      </x:c>
      <x:c r="C118" s="18" t="n">
        <x:v>1</x:v>
      </x:c>
      <x:c r="D118" s="18" t="n">
        <x:v>3</x:v>
      </x:c>
      <x:c r="E118" s="18" t="n">
        <x:v>2027</x:v>
      </x:c>
      <x:c r="F118" s="3" t="str">
        <x:v>일반사회</x:v>
      </x:c>
      <x:c r="G118" s="3" t="str">
        <x:v>일반사회</x:v>
      </x:c>
      <x:c r="H118" s="3" t="str">
        <x:v>경제</x:v>
      </x:c>
      <x:c r="I118" s="48" t="n">
        <x:f>'산정근거'!G63</x:f>
        <x:v>3</x:v>
      </x:c>
      <x:c r="J118" s="48" t="n">
        <x:f>'산정근거'!H63</x:f>
        <x:v>4</x:v>
      </x:c>
      <x:c r="K118" s="48" t="n">
        <x:f>I118*J118</x:f>
        <x:v>12</x:v>
      </x:c>
      <x:c r="L118" s="3" t="str">
        <x:v>경제·윤리 수요 보정·총반수 조정</x:v>
      </x:c>
      <x:c r="M118" s="3"/>
      <x:c r="N118" s="3" t="str">
        <x:v>① 2027 입학생 편제표 34행 / ② 2학년=&gt;3학년!X8 / 경제 수요 보정!K44</x:v>
      </x:c>
    </x:row>
    <x:row r="119" ht="25" customHeight="1">
      <x:c r="A119" s="3"/>
      <x:c r="B119" s="18" t="n">
        <x:v>2029</x:v>
      </x:c>
      <x:c r="C119" s="18" t="n">
        <x:v>1</x:v>
      </x:c>
      <x:c r="D119" s="18" t="n">
        <x:v>3</x:v>
      </x:c>
      <x:c r="E119" s="18" t="n">
        <x:v>2027</x:v>
      </x:c>
      <x:c r="F119" s="3" t="str">
        <x:v>일반사회</x:v>
      </x:c>
      <x:c r="G119" s="3" t="str">
        <x:v>일반사회</x:v>
      </x:c>
      <x:c r="H119" s="3" t="str">
        <x:v>국제 관계의 이해</x:v>
      </x:c>
      <x:c r="I119" s="48" t="n">
        <x:f>'산정근거'!G65</x:f>
        <x:v>3</x:v>
      </x:c>
      <x:c r="J119" s="48" t="n">
        <x:f>'산정근거'!H65</x:f>
        <x:v>7</x:v>
      </x:c>
      <x:c r="K119" s="48" t="n">
        <x:f>I119*J119</x:f>
        <x:v>21</x:v>
      </x:c>
      <x:c r="L119" s="3" t="str">
        <x:v>경제·윤리 수요 보정·총반수 조정</x:v>
      </x:c>
      <x:c r="M119" s="3"/>
      <x:c r="N119" s="3" t="str">
        <x:v>① 2027 입학생 편제표 34행 / ② 2학년=&gt;3학년!X11 / 경제 수요 보정!K46</x:v>
      </x:c>
    </x:row>
    <x:row r="120" ht="25" customHeight="1">
      <x:c r="A120" s="3"/>
      <x:c r="B120" s="18" t="n">
        <x:v>2029</x:v>
      </x:c>
      <x:c r="C120" s="18" t="n">
        <x:v>1</x:v>
      </x:c>
      <x:c r="D120" s="18" t="n">
        <x:v>3</x:v>
      </x:c>
      <x:c r="E120" s="18" t="n">
        <x:v>2027</x:v>
      </x:c>
      <x:c r="F120" s="3" t="str">
        <x:v>지리</x:v>
      </x:c>
      <x:c r="G120" s="3" t="str">
        <x:v>지리</x:v>
      </x:c>
      <x:c r="H120" s="3" t="str">
        <x:v>도시의 미래 탐구</x:v>
      </x:c>
      <x:c r="I120" s="48" t="n">
        <x:f>'산정근거'!G62</x:f>
        <x:v>3</x:v>
      </x:c>
      <x:c r="J120" s="48" t="n">
        <x:f>'산정근거'!H62</x:f>
        <x:v>7</x:v>
      </x:c>
      <x:c r="K120" s="48" t="n">
        <x:f>I120*J120</x:f>
        <x:v>21</x:v>
      </x:c>
      <x:c r="L120" s="3" t="str">
        <x:v>경제·윤리 수요 보정·총반수 조정</x:v>
      </x:c>
      <x:c r="M120" s="3"/>
      <x:c r="N120" s="3" t="str">
        <x:v>① 2027 입학생 편제표 34행 / ② 2학년=&gt;3학년!X7 / 경제 수요 보정!K43</x:v>
      </x:c>
    </x:row>
    <x:row r="121" ht="25" customHeight="1">
      <x:c r="A121" s="3"/>
      <x:c r="B121" s="18" t="n">
        <x:v>2029</x:v>
      </x:c>
      <x:c r="C121" s="18" t="n">
        <x:v>1</x:v>
      </x:c>
      <x:c r="D121" s="18" t="n">
        <x:v>3</x:v>
      </x:c>
      <x:c r="E121" s="18" t="n">
        <x:v>2027</x:v>
      </x:c>
      <x:c r="F121" s="3" t="str">
        <x:v>윤리</x:v>
      </x:c>
      <x:c r="G121" s="3" t="str">
        <x:v>윤리</x:v>
      </x:c>
      <x:c r="H121" s="3" t="str">
        <x:v>인문학과 윤리</x:v>
      </x:c>
      <x:c r="I121" s="48" t="n">
        <x:f>'산정근거'!G64</x:f>
        <x:v>3</x:v>
      </x:c>
      <x:c r="J121" s="48" t="n">
        <x:f>'산정근거'!H64</x:f>
        <x:v>4</x:v>
      </x:c>
      <x:c r="K121" s="48" t="n">
        <x:f>I121*J121</x:f>
        <x:v>12</x:v>
      </x:c>
      <x:c r="L121" s="3" t="str">
        <x:v>경제·윤리 수요 보정·총반수 조정</x:v>
      </x:c>
      <x:c r="M121" s="3"/>
      <x:c r="N121" s="3" t="str">
        <x:v>① 2027 입학생 편제표 34행 / ② 2학년=&gt;3학년!X10 / 경제 수요 보정!K45</x:v>
      </x:c>
    </x:row>
    <x:row r="122" ht="25" customHeight="1">
      <x:c r="A122" s="3"/>
      <x:c r="B122" s="18" t="n">
        <x:v>2029</x:v>
      </x:c>
      <x:c r="C122" s="18" t="n">
        <x:v>1</x:v>
      </x:c>
      <x:c r="D122" s="18" t="n">
        <x:v>3</x:v>
      </x:c>
      <x:c r="E122" s="18" t="n">
        <x:v>2027</x:v>
      </x:c>
      <x:c r="F122" s="3" t="str">
        <x:v>사회 융합</x:v>
      </x:c>
      <x:c r="G122" s="3" t="str">
        <x:v>역사</x:v>
      </x:c>
      <x:c r="H122" s="3" t="str">
        <x:v>역사로 탐구하는 현대 세계</x:v>
      </x:c>
      <x:c r="I122" s="48" t="n">
        <x:f>'산정근거'!G66</x:f>
        <x:v>3</x:v>
      </x:c>
      <x:c r="J122" s="48" t="n">
        <x:f>'산정근거'!H66</x:f>
        <x:v>5</x:v>
      </x:c>
      <x:c r="K122" s="48" t="n">
        <x:f>I122*J122</x:f>
        <x:v>15</x:v>
      </x:c>
      <x:c r="L122" s="3" t="str">
        <x:v>경제·윤리 수요 보정·총반수 조정</x:v>
      </x:c>
      <x:c r="M122" s="3"/>
      <x:c r="N122" s="3" t="str">
        <x:v>① 2027 입학생 편제표 35행 / ② 2학년=&gt;3학년!X13 / 경제 수요 보정!K47</x:v>
      </x:c>
    </x:row>
    <x:row r="123" ht="25" customHeight="1">
      <x:c r="A123" s="3"/>
      <x:c r="B123" s="18" t="n">
        <x:v>2029</x:v>
      </x:c>
      <x:c r="C123" s="18" t="n">
        <x:v>1</x:v>
      </x:c>
      <x:c r="D123" s="18" t="n">
        <x:v>3</x:v>
      </x:c>
      <x:c r="E123" s="18" t="n">
        <x:v>2027</x:v>
      </x:c>
      <x:c r="F123" s="3" t="str">
        <x:v>화학</x:v>
      </x:c>
      <x:c r="G123" s="3" t="str">
        <x:v>화학</x:v>
      </x:c>
      <x:c r="H123" s="3" t="str">
        <x:v>물질과 에너지</x:v>
      </x:c>
      <x:c r="I123" s="48" t="n">
        <x:f>'산정근거'!G68</x:f>
        <x:v>3</x:v>
      </x:c>
      <x:c r="J123" s="48" t="n">
        <x:f>'산정근거'!H68</x:f>
        <x:v>8</x:v>
      </x:c>
      <x:c r="K123" s="48" t="n">
        <x:f>I123*J123</x:f>
        <x:v>24</x:v>
      </x:c>
      <x:c r="L123" s="3" t="str">
        <x:v>경제·윤리 수요 보정·총반수 조정</x:v>
      </x:c>
      <x:c r="M123" s="3"/>
      <x:c r="N123" s="3" t="str">
        <x:v>① 2027 입학생 편제표 36행 / ② 2학년=&gt;3학년!X20 / 경제 수요 보정!K49</x:v>
      </x:c>
    </x:row>
    <x:row r="124" ht="25" customHeight="1">
      <x:c r="A124" s="3"/>
      <x:c r="B124" s="18" t="n">
        <x:v>2029</x:v>
      </x:c>
      <x:c r="C124" s="18" t="n">
        <x:v>1</x:v>
      </x:c>
      <x:c r="D124" s="18" t="n">
        <x:v>3</x:v>
      </x:c>
      <x:c r="E124" s="18" t="n">
        <x:v>2027</x:v>
      </x:c>
      <x:c r="F124" s="3" t="str">
        <x:v>생물</x:v>
      </x:c>
      <x:c r="G124" s="3" t="str">
        <x:v>생명과학</x:v>
      </x:c>
      <x:c r="H124" s="3" t="str">
        <x:v>세포와 물질대사</x:v>
      </x:c>
      <x:c r="I124" s="48" t="n">
        <x:f>'산정근거'!G69</x:f>
        <x:v>3</x:v>
      </x:c>
      <x:c r="J124" s="48" t="n">
        <x:f>'산정근거'!H69</x:f>
        <x:v>6</x:v>
      </x:c>
      <x:c r="K124" s="48" t="n">
        <x:f>I124*J124</x:f>
        <x:v>18</x:v>
      </x:c>
      <x:c r="L124" s="3" t="str">
        <x:v>경제·윤리 수요 보정·총반수 조정</x:v>
      </x:c>
      <x:c r="M124" s="3"/>
      <x:c r="N124" s="3" t="str">
        <x:v>① 2027 입학생 편제표 36행 / ② 2학년=&gt;3학년!X22 / 경제 수요 보정!K50</x:v>
      </x:c>
    </x:row>
    <x:row r="125" ht="25" customHeight="1">
      <x:c r="A125" s="3"/>
      <x:c r="B125" s="18" t="n">
        <x:v>2029</x:v>
      </x:c>
      <x:c r="C125" s="18" t="n">
        <x:v>1</x:v>
      </x:c>
      <x:c r="D125" s="18" t="n">
        <x:v>3</x:v>
      </x:c>
      <x:c r="E125" s="18" t="n">
        <x:v>2027</x:v>
      </x:c>
      <x:c r="F125" s="3" t="str">
        <x:v>물리</x:v>
      </x:c>
      <x:c r="G125" s="3" t="str">
        <x:v>물리학</x:v>
      </x:c>
      <x:c r="H125" s="3" t="str">
        <x:v>전자기와 양자</x:v>
      </x:c>
      <x:c r="I125" s="48" t="n">
        <x:f>'산정근거'!G67</x:f>
        <x:v>3</x:v>
      </x:c>
      <x:c r="J125" s="48" t="n">
        <x:f>'산정근거'!H67</x:f>
        <x:v>3</x:v>
      </x:c>
      <x:c r="K125" s="48" t="n">
        <x:f>I125*J125</x:f>
        <x:v>9</x:v>
      </x:c>
      <x:c r="L125" s="3" t="str">
        <x:v>경제·윤리 수요 보정·총반수 조정</x:v>
      </x:c>
      <x:c r="M125" s="3"/>
      <x:c r="N125" s="3" t="str">
        <x:v>① 2027 입학생 편제표 36행 / ② 2학년=&gt;3학년!X19 / 경제 수요 보정!K48</x:v>
      </x:c>
    </x:row>
    <x:row r="126" ht="25" customHeight="1">
      <x:c r="A126" s="3"/>
      <x:c r="B126" s="18" t="n">
        <x:v>2029</x:v>
      </x:c>
      <x:c r="C126" s="18" t="n">
        <x:v>1</x:v>
      </x:c>
      <x:c r="D126" s="18" t="n">
        <x:v>3</x:v>
      </x:c>
      <x:c r="E126" s="18" t="n">
        <x:v>2027</x:v>
      </x:c>
      <x:c r="F126" s="3" t="str">
        <x:v>지구과학</x:v>
      </x:c>
      <x:c r="G126" s="3" t="str">
        <x:v>지구과학</x:v>
      </x:c>
      <x:c r="H126" s="3" t="str">
        <x:v>지구시스템과학</x:v>
      </x:c>
      <x:c r="I126" s="48" t="n">
        <x:f>'산정근거'!G70</x:f>
        <x:v>3</x:v>
      </x:c>
      <x:c r="J126" s="48" t="n">
        <x:f>'산정근거'!H70</x:f>
        <x:v>0</x:v>
      </x:c>
      <x:c r="K126" s="48" t="n">
        <x:f>I126*J126</x:f>
        <x:v>0</x:v>
      </x:c>
      <x:c r="L126" s="3" t="str">
        <x:v>경제·윤리 수요 보정·총반수 조정</x:v>
      </x:c>
      <x:c r="M126" s="3"/>
      <x:c r="N126" s="3" t="str">
        <x:v>① 2027 입학생 편제표 36행 / ② 2학년=&gt;3학년!X24 / 경제 수요 보정!K51</x:v>
      </x:c>
    </x:row>
    <x:row r="127" ht="25" customHeight="1">
      <x:c r="A127" s="3"/>
      <x:c r="B127" s="18" t="n">
        <x:v>2029</x:v>
      </x:c>
      <x:c r="C127" s="18" t="n">
        <x:v>2</x:v>
      </x:c>
      <x:c r="D127" s="18" t="n">
        <x:v>1</x:v>
      </x:c>
      <x:c r="E127" s="18" t="n">
        <x:v>2029</x:v>
      </x:c>
      <x:c r="F127" s="3" t="str">
        <x:v>역사</x:v>
      </x:c>
      <x:c r="G127" s="3" t="str">
        <x:v>역사</x:v>
      </x:c>
      <x:c r="H127" s="3" t="str">
        <x:v>한국사2</x:v>
      </x:c>
      <x:c r="I127" s="48" t="n">
        <x:v>3</x:v>
      </x:c>
      <x:c r="J127" s="48" t="n">
        <x:v>12</x:v>
      </x:c>
      <x:c r="K127" s="48" t="n">
        <x:f>I127*J127</x:f>
        <x:v>36</x:v>
      </x:c>
      <x:c r="L127" s="3" t="str">
        <x:v>학급 수 적용</x:v>
      </x:c>
      <x:c r="M127" s="3"/>
      <x:c r="N127" s="3" t="str">
        <x:v>① 2027 입학생 편제표 12행 / 학급 수 조건</x:v>
      </x:c>
    </x:row>
    <x:row r="128" ht="25" customHeight="1">
      <x:c r="A128" s="3"/>
      <x:c r="B128" s="18" t="n">
        <x:v>2029</x:v>
      </x:c>
      <x:c r="C128" s="18" t="n">
        <x:v>2</x:v>
      </x:c>
      <x:c r="D128" s="18" t="n">
        <x:v>1</x:v>
      </x:c>
      <x:c r="E128" s="18" t="n">
        <x:v>2029</x:v>
      </x:c>
      <x:c r="F128" s="3" t="str">
        <x:v>통합사회</x:v>
      </x:c>
      <x:c r="G128" s="3" t="str">
        <x:v>사회 공통</x:v>
      </x:c>
      <x:c r="H128" s="3" t="str">
        <x:v>통합사회2</x:v>
      </x:c>
      <x:c r="I128" s="48" t="n">
        <x:v>4</x:v>
      </x:c>
      <x:c r="J128" s="48" t="n">
        <x:v>12</x:v>
      </x:c>
      <x:c r="K128" s="48" t="n">
        <x:f>I128*J128</x:f>
        <x:v>48</x:v>
      </x:c>
      <x:c r="L128" s="3" t="str">
        <x:v>학급 수 적용</x:v>
      </x:c>
      <x:c r="M128" s="3"/>
      <x:c r="N128" s="3" t="str">
        <x:v>① 2027 입학생 편제표 13행 / 학급 수 조건</x:v>
      </x:c>
    </x:row>
    <x:row r="129" ht="25" customHeight="1">
      <x:c r="A129" s="3"/>
      <x:c r="B129" s="18" t="n">
        <x:v>2029</x:v>
      </x:c>
      <x:c r="C129" s="18" t="n">
        <x:v>2</x:v>
      </x:c>
      <x:c r="D129" s="18" t="n">
        <x:v>1</x:v>
      </x:c>
      <x:c r="E129" s="18" t="n">
        <x:v>2029</x:v>
      </x:c>
      <x:c r="F129" s="3" t="str">
        <x:v>통합과학</x:v>
      </x:c>
      <x:c r="G129" s="3" t="str">
        <x:v>과학 공통·융합</x:v>
      </x:c>
      <x:c r="H129" s="3" t="str">
        <x:v>통합과학2</x:v>
      </x:c>
      <x:c r="I129" s="48" t="n">
        <x:v>4</x:v>
      </x:c>
      <x:c r="J129" s="48" t="n">
        <x:v>12</x:v>
      </x:c>
      <x:c r="K129" s="48" t="n">
        <x:f>I129*J129</x:f>
        <x:v>48</x:v>
      </x:c>
      <x:c r="L129" s="3" t="str">
        <x:v>학급 수 적용</x:v>
      </x:c>
      <x:c r="M129" s="3"/>
      <x:c r="N129" s="3" t="str">
        <x:v>① 2027 입학생 편제표 14행 / 학급 수 조건</x:v>
      </x:c>
    </x:row>
    <x:row r="130" ht="25" customHeight="1">
      <x:c r="A130" s="3"/>
      <x:c r="B130" s="18" t="n">
        <x:v>2029</x:v>
      </x:c>
      <x:c r="C130" s="18" t="n">
        <x:v>2</x:v>
      </x:c>
      <x:c r="D130" s="18" t="n">
        <x:v>1</x:v>
      </x:c>
      <x:c r="E130" s="18" t="n">
        <x:v>2029</x:v>
      </x:c>
      <x:c r="F130" s="3" t="str">
        <x:v>과학탐구실험</x:v>
      </x:c>
      <x:c r="G130" s="3" t="str">
        <x:v>과학 공통·융합</x:v>
      </x:c>
      <x:c r="H130" s="3" t="str">
        <x:v>과학탐구실험2</x:v>
      </x:c>
      <x:c r="I130" s="48" t="n">
        <x:v>1</x:v>
      </x:c>
      <x:c r="J130" s="48" t="n">
        <x:v>12</x:v>
      </x:c>
      <x:c r="K130" s="48" t="n">
        <x:f>I130*J130</x:f>
        <x:v>12</x:v>
      </x:c>
      <x:c r="L130" s="3" t="str">
        <x:v>학급 수 적용</x:v>
      </x:c>
      <x:c r="M130" s="3"/>
      <x:c r="N130" s="3" t="str">
        <x:v>① 2027 입학생 편제표 15행 / 학급 수 조건</x:v>
      </x:c>
    </x:row>
    <x:row r="131" ht="25" customHeight="1">
      <x:c r="A131" s="3"/>
      <x:c r="B131" s="18" t="n">
        <x:v>2029</x:v>
      </x:c>
      <x:c r="C131" s="18" t="n">
        <x:v>2</x:v>
      </x:c>
      <x:c r="D131" s="18" t="n">
        <x:v>2</x:v>
      </x:c>
      <x:c r="E131" s="18" t="n">
        <x:v>2028</x:v>
      </x:c>
      <x:c r="F131" s="3" t="str">
        <x:v>역사</x:v>
      </x:c>
      <x:c r="G131" s="3" t="str">
        <x:v>역사</x:v>
      </x:c>
      <x:c r="H131" s="3" t="str">
        <x:v>동아시아 역사 기행</x:v>
      </x:c>
      <x:c r="I131" s="48" t="n">
        <x:v>3</x:v>
      </x:c>
      <x:c r="J131" s="48" t="n">
        <x:f>'경제 수요 보정'!K95</x:f>
        <x:v>2</x:v>
      </x:c>
      <x:c r="K131" s="48" t="n">
        <x:f>I131*J131</x:f>
        <x:v>6</x:v>
      </x:c>
      <x:c r="L131" s="3" t="str">
        <x:v>경제·윤리 수요 보정·총반수 조정</x:v>
      </x:c>
      <x:c r="M131" s="3"/>
      <x:c r="N131" s="3" t="str">
        <x:v>① 2027 입학생 편제표 27행 / ② 1학년=&gt;2학년!X24 / 경제 수요 보정!K95</x:v>
      </x:c>
    </x:row>
    <x:row r="132" ht="25" customHeight="1">
      <x:c r="A132" s="3"/>
      <x:c r="B132" s="18" t="n">
        <x:v>2029</x:v>
      </x:c>
      <x:c r="C132" s="18" t="n">
        <x:v>2</x:v>
      </x:c>
      <x:c r="D132" s="18" t="n">
        <x:v>2</x:v>
      </x:c>
      <x:c r="E132" s="18" t="n">
        <x:v>2028</x:v>
      </x:c>
      <x:c r="F132" s="3" t="str">
        <x:v>일반사회</x:v>
      </x:c>
      <x:c r="G132" s="3" t="str">
        <x:v>일반사회</x:v>
      </x:c>
      <x:c r="H132" s="3" t="str">
        <x:v>법과 사회</x:v>
      </x:c>
      <x:c r="I132" s="48" t="n">
        <x:v>3</x:v>
      </x:c>
      <x:c r="J132" s="48" t="n">
        <x:f>'경제 수요 보정'!K94</x:f>
        <x:v>5</x:v>
      </x:c>
      <x:c r="K132" s="48" t="n">
        <x:f>I132*J132</x:f>
        <x:v>15</x:v>
      </x:c>
      <x:c r="L132" s="3" t="str">
        <x:v>경제·윤리 수요 보정·총반수 조정</x:v>
      </x:c>
      <x:c r="M132" s="3"/>
      <x:c r="N132" s="3" t="str">
        <x:v>① 2027 입학생 편제표 27행 / ② 1학년=&gt;2학년!X23 / 경제 수요 보정!K94</x:v>
      </x:c>
    </x:row>
    <x:row r="133" ht="25" customHeight="1">
      <x:c r="A133" s="3"/>
      <x:c r="B133" s="18" t="n">
        <x:v>2029</x:v>
      </x:c>
      <x:c r="C133" s="18" t="n">
        <x:v>2</x:v>
      </x:c>
      <x:c r="D133" s="18" t="n">
        <x:v>2</x:v>
      </x:c>
      <x:c r="E133" s="18" t="n">
        <x:v>2028</x:v>
      </x:c>
      <x:c r="F133" s="3" t="str">
        <x:v>윤리</x:v>
      </x:c>
      <x:c r="G133" s="3" t="str">
        <x:v>윤리</x:v>
      </x:c>
      <x:c r="H133" s="3" t="str">
        <x:v>윤리와 사상</x:v>
      </x:c>
      <x:c r="I133" s="48" t="n">
        <x:v>3</x:v>
      </x:c>
      <x:c r="J133" s="48" t="n">
        <x:f>'경제 수요 보정'!K92</x:f>
        <x:v>5</x:v>
      </x:c>
      <x:c r="K133" s="48" t="n">
        <x:f>I133*J133</x:f>
        <x:v>15</x:v>
      </x:c>
      <x:c r="L133" s="3" t="str">
        <x:v>경제·윤리 수요 보정·총반수 조정</x:v>
      </x:c>
      <x:c r="M133" s="3"/>
      <x:c r="N133" s="3" t="str">
        <x:v>① 2027 입학생 편제표 27행 / ② 1학년=&gt;2학년!X21 / 경제 수요 보정!K92</x:v>
      </x:c>
    </x:row>
    <x:row r="134" ht="25" customHeight="1">
      <x:c r="A134" s="3"/>
      <x:c r="B134" s="18" t="n">
        <x:v>2029</x:v>
      </x:c>
      <x:c r="C134" s="18" t="n">
        <x:v>2</x:v>
      </x:c>
      <x:c r="D134" s="18" t="n">
        <x:v>2</x:v>
      </x:c>
      <x:c r="E134" s="18" t="n">
        <x:v>2028</x:v>
      </x:c>
      <x:c r="F134" s="3" t="str">
        <x:v>일반사회</x:v>
      </x:c>
      <x:c r="G134" s="3" t="str">
        <x:v>일반사회</x:v>
      </x:c>
      <x:c r="H134" s="3" t="str">
        <x:v>정치</x:v>
      </x:c>
      <x:c r="I134" s="48" t="n">
        <x:v>3</x:v>
      </x:c>
      <x:c r="J134" s="48" t="n">
        <x:f>'경제 수요 보정'!K93</x:f>
        <x:v>4</x:v>
      </x:c>
      <x:c r="K134" s="48" t="n">
        <x:f>I134*J134</x:f>
        <x:v>12</x:v>
      </x:c>
      <x:c r="L134" s="3" t="str">
        <x:v>경제·윤리 수요 보정·총반수 조정</x:v>
      </x:c>
      <x:c r="M134" s="3"/>
      <x:c r="N134" s="3" t="str">
        <x:v>① 2027 입학생 편제표 27행 / ② 1학년=&gt;2학년!X22 / 경제 수요 보정!K93</x:v>
      </x:c>
    </x:row>
    <x:row r="135" ht="25" customHeight="1">
      <x:c r="A135" s="3"/>
      <x:c r="B135" s="18" t="n">
        <x:v>2029</x:v>
      </x:c>
      <x:c r="C135" s="18" t="n">
        <x:v>2</x:v>
      </x:c>
      <x:c r="D135" s="18" t="n">
        <x:v>2</x:v>
      </x:c>
      <x:c r="E135" s="18" t="n">
        <x:v>2028</x:v>
      </x:c>
      <x:c r="F135" s="3" t="str">
        <x:v>지리</x:v>
      </x:c>
      <x:c r="G135" s="3" t="str">
        <x:v>지리</x:v>
      </x:c>
      <x:c r="H135" s="3" t="str">
        <x:v>한국지리 탐구</x:v>
      </x:c>
      <x:c r="I135" s="48" t="n">
        <x:v>3</x:v>
      </x:c>
      <x:c r="J135" s="48" t="n">
        <x:f>'경제 수요 보정'!K91</x:f>
        <x:v>2</x:v>
      </x:c>
      <x:c r="K135" s="48" t="n">
        <x:f>I135*J135</x:f>
        <x:v>6</x:v>
      </x:c>
      <x:c r="L135" s="3" t="str">
        <x:v>경제·윤리 수요 보정·총반수 조정</x:v>
      </x:c>
      <x:c r="M135" s="3"/>
      <x:c r="N135" s="3" t="str">
        <x:v>① 2027 입학생 편제표 27행 / ② 1학년=&gt;2학년!X20 / 경제 수요 보정!K91</x:v>
      </x:c>
    </x:row>
    <x:row r="136" ht="25" customHeight="1">
      <x:c r="A136" s="3"/>
      <x:c r="B136" s="18" t="n">
        <x:v>2029</x:v>
      </x:c>
      <x:c r="C136" s="18" t="n">
        <x:v>2</x:v>
      </x:c>
      <x:c r="D136" s="18" t="n">
        <x:v>2</x:v>
      </x:c>
      <x:c r="E136" s="18" t="n">
        <x:v>2028</x:v>
      </x:c>
      <x:c r="F136" s="3" t="str">
        <x:v>지구과학</x:v>
      </x:c>
      <x:c r="G136" s="3" t="str">
        <x:v>지구과학</x:v>
      </x:c>
      <x:c r="H136" s="3" t="str">
        <x:v>지구과학</x:v>
      </x:c>
      <x:c r="I136" s="48" t="n">
        <x:v>3</x:v>
      </x:c>
      <x:c r="J136" s="48" t="n">
        <x:f>'경제 수요 보정'!K96</x:f>
        <x:v>4</x:v>
      </x:c>
      <x:c r="K136" s="48" t="n">
        <x:f>I136*J136</x:f>
        <x:v>12</x:v>
      </x:c>
      <x:c r="L136" s="3" t="str">
        <x:v>경제·윤리 수요 보정·총반수 조정</x:v>
      </x:c>
      <x:c r="M136" s="3"/>
      <x:c r="N136" s="3" t="str">
        <x:v>① 2027 입학생 편제표 28행 / ② 1학년=&gt;2학년!X13 / 경제 수요 보정!K96</x:v>
      </x:c>
    </x:row>
    <x:row r="137" ht="25" customHeight="1">
      <x:c r="A137" s="3"/>
      <x:c r="B137" s="18" t="n">
        <x:v>2029</x:v>
      </x:c>
      <x:c r="C137" s="18" t="n">
        <x:v>2</x:v>
      </x:c>
      <x:c r="D137" s="18" t="n">
        <x:v>2</x:v>
      </x:c>
      <x:c r="E137" s="18" t="n">
        <x:v>2028</x:v>
      </x:c>
      <x:c r="F137" s="3" t="str">
        <x:v>생물</x:v>
      </x:c>
      <x:c r="G137" s="3" t="str">
        <x:v>생명과학</x:v>
      </x:c>
      <x:c r="H137" s="3" t="str">
        <x:v>생물의 유전</x:v>
      </x:c>
      <x:c r="I137" s="48" t="n">
        <x:v>3</x:v>
      </x:c>
      <x:c r="J137" s="48" t="n">
        <x:f>'경제 수요 보정'!K99</x:f>
        <x:v>4</x:v>
      </x:c>
      <x:c r="K137" s="48" t="n">
        <x:f>I137*J137</x:f>
        <x:v>12</x:v>
      </x:c>
      <x:c r="L137" s="3" t="str">
        <x:v>경제·윤리 수요 보정·총반수 조정</x:v>
      </x:c>
      <x:c r="M137" s="3"/>
      <x:c r="N137" s="3" t="str">
        <x:v>① 2027 입학생 편제표 29행 / ② 1학년=&gt;2학년!X27 / 경제 수요 보정!K99</x:v>
      </x:c>
    </x:row>
    <x:row r="138" ht="25" customHeight="1">
      <x:c r="A138" s="3"/>
      <x:c r="B138" s="18" t="n">
        <x:v>2029</x:v>
      </x:c>
      <x:c r="C138" s="18" t="n">
        <x:v>2</x:v>
      </x:c>
      <x:c r="D138" s="18" t="n">
        <x:v>2</x:v>
      </x:c>
      <x:c r="E138" s="18" t="n">
        <x:v>2028</x:v>
      </x:c>
      <x:c r="F138" s="3" t="str">
        <x:v>물리</x:v>
      </x:c>
      <x:c r="G138" s="3" t="str">
        <x:v>물리학</x:v>
      </x:c>
      <x:c r="H138" s="3" t="str">
        <x:v>역학과 에너지</x:v>
      </x:c>
      <x:c r="I138" s="48" t="n">
        <x:v>3</x:v>
      </x:c>
      <x:c r="J138" s="48" t="n">
        <x:f>'경제 수요 보정'!K97</x:f>
        <x:v>4</x:v>
      </x:c>
      <x:c r="K138" s="48" t="n">
        <x:f>I138*J138</x:f>
        <x:v>12</x:v>
      </x:c>
      <x:c r="L138" s="3" t="str">
        <x:v>경제·윤리 수요 보정·총반수 조정</x:v>
      </x:c>
      <x:c r="M138" s="3"/>
      <x:c r="N138" s="3" t="str">
        <x:v>① 2027 입학생 편제표 29행 / ② 1학년=&gt;2학년!X26 / 경제 수요 보정!K97</x:v>
      </x:c>
    </x:row>
    <x:row r="139" ht="25" customHeight="1">
      <x:c r="A139" s="3"/>
      <x:c r="B139" s="18" t="n">
        <x:v>2029</x:v>
      </x:c>
      <x:c r="C139" s="18" t="n">
        <x:v>2</x:v>
      </x:c>
      <x:c r="D139" s="18" t="n">
        <x:v>2</x:v>
      </x:c>
      <x:c r="E139" s="18" t="n">
        <x:v>2028</x:v>
      </x:c>
      <x:c r="F139" s="3" t="str">
        <x:v>지구과학</x:v>
      </x:c>
      <x:c r="G139" s="3" t="str">
        <x:v>지구과학</x:v>
      </x:c>
      <x:c r="H139" s="3" t="str">
        <x:v>행성우주과학</x:v>
      </x:c>
      <x:c r="I139" s="48" t="n">
        <x:v>3</x:v>
      </x:c>
      <x:c r="J139" s="48" t="n">
        <x:f>'경제 수요 보정'!K100</x:f>
        <x:v>1</x:v>
      </x:c>
      <x:c r="K139" s="48" t="n">
        <x:f>I139*J139</x:f>
        <x:v>3</x:v>
      </x:c>
      <x:c r="L139" s="3" t="str">
        <x:v>경제·윤리 수요 보정·총반수 조정</x:v>
      </x:c>
      <x:c r="M139" s="3"/>
      <x:c r="N139" s="3" t="str">
        <x:v>① 2027 입학생 편제표 29행 / ② 1학년=&gt;2학년!X28 / 경제 수요 보정!K100</x:v>
      </x:c>
    </x:row>
    <x:row r="140" ht="25" customHeight="1">
      <x:c r="A140" s="3"/>
      <x:c r="B140" s="18" t="n">
        <x:v>2029</x:v>
      </x:c>
      <x:c r="C140" s="18" t="n">
        <x:v>2</x:v>
      </x:c>
      <x:c r="D140" s="18" t="n">
        <x:v>2</x:v>
      </x:c>
      <x:c r="E140" s="18" t="n">
        <x:v>2028</x:v>
      </x:c>
      <x:c r="F140" s="3" t="str">
        <x:v>화학</x:v>
      </x:c>
      <x:c r="G140" s="3" t="str">
        <x:v>화학</x:v>
      </x:c>
      <x:c r="H140" s="3" t="str">
        <x:v>화학 반응의 세계</x:v>
      </x:c>
      <x:c r="I140" s="48" t="n">
        <x:v>3</x:v>
      </x:c>
      <x:c r="J140" s="48" t="n">
        <x:f>'경제 수요 보정'!K98</x:f>
        <x:v>5</x:v>
      </x:c>
      <x:c r="K140" s="48" t="n">
        <x:f>I140*J140</x:f>
        <x:v>15</x:v>
      </x:c>
      <x:c r="L140" s="3" t="str">
        <x:v>경제·윤리 수요 보정·총반수 조정</x:v>
      </x:c>
      <x:c r="M140" s="3"/>
      <x:c r="N140" s="3" t="str">
        <x:v>① 2027 입학생 편제표 29행 / ② 2학년=&gt;3학년!X21 / 경제 수요 보정!K98</x:v>
      </x:c>
    </x:row>
    <x:row r="141" ht="25" customHeight="1">
      <x:c r="A141" s="3"/>
      <x:c r="B141" s="18" t="n">
        <x:v>2029</x:v>
      </x:c>
      <x:c r="C141" s="18" t="n">
        <x:v>2</x:v>
      </x:c>
      <x:c r="D141" s="18" t="n">
        <x:v>3</x:v>
      </x:c>
      <x:c r="E141" s="18" t="n">
        <x:v>2027</x:v>
      </x:c>
      <x:c r="F141" s="3" t="str">
        <x:v>사회 융합</x:v>
      </x:c>
      <x:c r="G141" s="3" t="str">
        <x:v>일반사회</x:v>
      </x:c>
      <x:c r="H141" s="3" t="str">
        <x:v>사회문제 탐구</x:v>
      </x:c>
      <x:c r="I141" s="48" t="n">
        <x:v>3</x:v>
      </x:c>
      <x:c r="J141" s="48" t="n">
        <x:v>9</x:v>
      </x:c>
      <x:c r="K141" s="48" t="n">
        <x:f>I141*J141</x:f>
        <x:v>27</x:v>
      </x:c>
      <x:c r="L141" s="3" t="str">
        <x:v>선택 비율·총반수 조정</x:v>
      </x:c>
      <x:c r="M141" s="3"/>
      <x:c r="N141" s="3" t="str">
        <x:v>① 2027 입학생 편제표 44행 / ② 2학년=&gt;3학년!X43</x:v>
      </x:c>
    </x:row>
    <x:row r="142" ht="25" customHeight="1">
      <x:c r="A142" s="3"/>
      <x:c r="B142" s="18" t="n">
        <x:v>2029</x:v>
      </x:c>
      <x:c r="C142" s="18" t="n">
        <x:v>2</x:v>
      </x:c>
      <x:c r="D142" s="18" t="n">
        <x:v>3</x:v>
      </x:c>
      <x:c r="E142" s="18" t="n">
        <x:v>2027</x:v>
      </x:c>
      <x:c r="F142" s="3" t="str">
        <x:v>사회 융합</x:v>
      </x:c>
      <x:c r="G142" s="3" t="str">
        <x:v>지리</x:v>
      </x:c>
      <x:c r="H142" s="3" t="str">
        <x:v>여행지리</x:v>
      </x:c>
      <x:c r="I142" s="48" t="n">
        <x:v>3</x:v>
      </x:c>
      <x:c r="J142" s="48" t="n">
        <x:v>7</x:v>
      </x:c>
      <x:c r="K142" s="48" t="n">
        <x:f>I142*J142</x:f>
        <x:v>21</x:v>
      </x:c>
      <x:c r="L142" s="3" t="str">
        <x:v>선택 비율·총반수 조정</x:v>
      </x:c>
      <x:c r="M142" s="3"/>
      <x:c r="N142" s="3" t="str">
        <x:v>① 2027 입학생 편제표 44행 / ② 2학년=&gt;3학년!X42</x:v>
      </x:c>
    </x:row>
    <x:row r="143" ht="25" customHeight="1">
      <x:c r="A143" s="3"/>
      <x:c r="B143" s="18" t="n">
        <x:v>2029</x:v>
      </x:c>
      <x:c r="C143" s="18" t="n">
        <x:v>2</x:v>
      </x:c>
      <x:c r="D143" s="18" t="n">
        <x:v>3</x:v>
      </x:c>
      <x:c r="E143" s="18" t="n">
        <x:v>2027</x:v>
      </x:c>
      <x:c r="F143" s="3" t="str">
        <x:v>사회 융합</x:v>
      </x:c>
      <x:c r="G143" s="3" t="str">
        <x:v>윤리</x:v>
      </x:c>
      <x:c r="H143" s="3" t="str">
        <x:v>윤리문제 탐구</x:v>
      </x:c>
      <x:c r="I143" s="48" t="n">
        <x:v>3</x:v>
      </x:c>
      <x:c r="J143" s="48" t="n">
        <x:v>4</x:v>
      </x:c>
      <x:c r="K143" s="48" t="n">
        <x:f>I143*J143</x:f>
        <x:v>12</x:v>
      </x:c>
      <x:c r="L143" s="3" t="str">
        <x:v>선택 비율·총반수 조정</x:v>
      </x:c>
      <x:c r="M143" s="3"/>
      <x:c r="N143" s="3" t="str">
        <x:v>① 2027 입학생 편제표 44행 / ② 2학년=&gt;3학년!X16</x:v>
      </x:c>
    </x:row>
    <x:row r="144" ht="25" customHeight="1">
      <x:c r="A144" s="3"/>
      <x:c r="B144" s="18" t="n">
        <x:v>2029</x:v>
      </x:c>
      <x:c r="C144" s="18" t="n">
        <x:v>2</x:v>
      </x:c>
      <x:c r="D144" s="18" t="n">
        <x:v>3</x:v>
      </x:c>
      <x:c r="E144" s="18" t="n">
        <x:v>2027</x:v>
      </x:c>
      <x:c r="F144" s="3" t="str">
        <x:v>과학 융합</x:v>
      </x:c>
      <x:c r="G144" s="3" t="str">
        <x:v>과학 공통·융합</x:v>
      </x:c>
      <x:c r="H144" s="3" t="str">
        <x:v>과학의 역사와 문화</x:v>
      </x:c>
      <x:c r="I144" s="48" t="n">
        <x:v>3</x:v>
      </x:c>
      <x:c r="J144" s="48" t="n">
        <x:v>9</x:v>
      </x:c>
      <x:c r="K144" s="48" t="n">
        <x:f>I144*J144</x:f>
        <x:v>27</x:v>
      </x:c>
      <x:c r="L144" s="3" t="str">
        <x:v>선택 비율·총반수 조정</x:v>
      </x:c>
      <x:c r="M144" s="3"/>
      <x:c r="N144" s="3" t="str">
        <x:v>① 2027 입학생 편제표 45행 / ② 2학년=&gt;3학년!X50</x:v>
      </x:c>
    </x:row>
    <x:row r="145" ht="25" customHeight="1">
      <x:c r="A145" s="3"/>
      <x:c r="B145" s="18" t="n">
        <x:v>2029</x:v>
      </x:c>
      <x:c r="C145" s="18" t="n">
        <x:v>2</x:v>
      </x:c>
      <x:c r="D145" s="18" t="n">
        <x:v>3</x:v>
      </x:c>
      <x:c r="E145" s="18" t="n">
        <x:v>2027</x:v>
      </x:c>
      <x:c r="F145" s="3" t="str">
        <x:v>과학 융합</x:v>
      </x:c>
      <x:c r="G145" s="3" t="str">
        <x:v>과학 공통·융합</x:v>
      </x:c>
      <x:c r="H145" s="3" t="str">
        <x:v>기후변화와 환경생태</x:v>
      </x:c>
      <x:c r="I145" s="48" t="n">
        <x:v>3</x:v>
      </x:c>
      <x:c r="J145" s="48" t="n">
        <x:v>11</x:v>
      </x:c>
      <x:c r="K145" s="48" t="n">
        <x:f>I145*J145</x:f>
        <x:v>33</x:v>
      </x:c>
      <x:c r="L145" s="3" t="str">
        <x:v>선택 비율·총반수 조정</x:v>
      </x:c>
      <x:c r="M145" s="3"/>
      <x:c r="N145" s="3" t="str">
        <x:v>① 2027 입학생 편제표 45행 / ② 2학년=&gt;3학년!X49</x:v>
      </x:c>
    </x:row>
    <x:row r="146" ht="25" customHeight="1">
      <x:c r="A146" s="3"/>
      <x:c r="B146" s="18" t="n">
        <x:v>2029</x:v>
      </x:c>
      <x:c r="C146" s="18" t="n">
        <x:v>2</x:v>
      </x:c>
      <x:c r="D146" s="18" t="n">
        <x:v>3</x:v>
      </x:c>
      <x:c r="E146" s="18" t="n">
        <x:v>2027</x:v>
      </x:c>
      <x:c r="F146" s="3" t="str">
        <x:v>과학 융합</x:v>
      </x:c>
      <x:c r="G146" s="3" t="str">
        <x:v>과학 공통·융합</x:v>
      </x:c>
      <x:c r="H146" s="3" t="str">
        <x:v>융합과학 탐구</x:v>
      </x:c>
      <x:c r="I146" s="48" t="n">
        <x:v>3</x:v>
      </x:c>
      <x:c r="J146" s="48" t="n">
        <x:v>8</x:v>
      </x:c>
      <x:c r="K146" s="48" t="n">
        <x:f>I146*J146</x:f>
        <x:v>24</x:v>
      </x:c>
      <x:c r="L146" s="3" t="str">
        <x:v>선택 비율·총반수 조정</x:v>
      </x:c>
      <x:c r="M146" s="3"/>
      <x:c r="N146" s="3" t="str">
        <x:v>① 2027 입학생 편제표 45행 / ② 2학년=&gt;3학년!X51</x:v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</x:sheetData>
  <x:pageMargins left="0.7" right="0.7" top="0.75" bottom="0.75" header="0.3" footer="0.3"/>
  <x:tableParts count="1">
    <x:tablePart xmlns:r="http://schemas.openxmlformats.org/officeDocument/2006/relationships" r:id="Rb468aa98cced44fb"/>
  </x:tableParts>
</x:worksheet>
</file>

<file path=xl/worksheets/sheet12.xml><?xml version="1.0" encoding="utf-8"?>
<x:worksheet xmlns:x="http://schemas.openxmlformats.org/spreadsheetml/2006/main">
  <x:sheetPr>
    <x:tabColor rgb="FF243B53"/>
  </x:sheetPr>
  <x:sheetViews>
    <x:sheetView showGridLines="0" workbookViewId="0" tabSelected="0">
      <x:pane ySplit="8" topLeftCell="A9" activePane="bottomLeft" state="frozen"/>
    </x:sheetView>
  </x:sheetViews>
  <x:sheetFormatPr defaultRowHeight="15"/>
  <x:cols>
    <x:col min="1" max="1" width="2.25" hidden="0" customWidth="1"/>
    <x:col min="2" max="2" width="18.1299991607666" hidden="0" customWidth="1"/>
    <x:col min="3" max="3" width="7.25" hidden="0" customWidth="1"/>
    <x:col min="4" max="4" width="9.630000114440918" hidden="0" customWidth="1"/>
    <x:col min="5" max="5" width="9.630000114440918" hidden="0" customWidth="1"/>
    <x:col min="6" max="6" width="9.630000114440918" hidden="0" customWidth="1"/>
    <x:col min="7" max="7" width="11" hidden="0" customWidth="1"/>
    <x:col min="8" max="8" width="9.630000114440918" hidden="0" customWidth="1"/>
    <x:col min="9" max="9" width="9.630000114440918" hidden="0" customWidth="1"/>
    <x:col min="10" max="10" width="9.630000114440918" hidden="0" customWidth="1"/>
    <x:col min="11" max="11" width="11" hidden="0" customWidth="1"/>
    <x:col min="12" max="12" width="10.25" hidden="0" customWidth="1"/>
    <x:col min="13" max="13" width="11.25" hidden="0" customWidth="1"/>
  </x:cols>
  <x:sheetData>
    <x:row r="1" ht="12" customHeight="1">
      <x:c r="A1" s="78"/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</x:row>
    <x:row r="2" ht="34" customHeight="1">
      <x:c r="A2" s="78"/>
      <x:c r="B2" s="4" t="str">
        <x:v>공통·융합과목 배정 후 교사 평균 비교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</x:row>
    <x:row r="3" ht="24" customHeight="1">
      <x:c r="A3" s="78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</x:row>
    <x:row r="4" ht="24" customHeight="1">
      <x:c r="A4" s="78"/>
      <x:c r="B4" s="80" t="str">
        <x:v>2029학년도 1학기. 변경안은 세계 문화와 영어를 택4로 이동하고 기존 택1 반 수를 다시 배분한 안입니다.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</x:row>
    <x:row r="5" ht="24" customHeight="1">
      <x:c r="A5" s="78"/>
      <x:c r="B5" s="80" t="str">
        <x:v>두 안 모두 같은 교사 수로 배정했습니다. 각 안에서 배정 반 수를 조정했으므로 증감에는 재배정 효과도 포함됩니다.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</x:row>
    <x:row r="6" ht="24" customHeight="1">
      <x:c r="A6" s="78"/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</x:row>
    <x:row r="7" ht="28" customHeight="1">
      <x:c r="A7" s="78"/>
      <x:c r="B7" s="148" t="str">
        <x:v>담당 교과</x:v>
      </x:c>
      <x:c r="C7" s="148" t="str">
        <x:v>교사 수</x:v>
      </x:c>
      <x:c r="D7" s="148" t="str">
        <x:v>기존안</x:v>
      </x:c>
      <x:c r="E7" s="148"/>
      <x:c r="F7" s="148"/>
      <x:c r="G7" s="148"/>
      <x:c r="H7" s="148" t="str">
        <x:v>변경안</x:v>
      </x:c>
      <x:c r="I7" s="148"/>
      <x:c r="J7" s="148"/>
      <x:c r="K7" s="148"/>
      <x:c r="L7" s="148" t="str">
        <x:v>변경안 − 기존안</x:v>
      </x:c>
      <x:c r="M7" s="148"/>
    </x:row>
    <x:row r="8" ht="38" customHeight="1">
      <x:c r="A8" s="78"/>
      <x:c r="B8" s="148"/>
      <x:c r="C8" s="148"/>
      <x:c r="D8" s="148" t="str">
        <x:v>자체 시수</x:v>
      </x:c>
      <x:c r="E8" s="148" t="str">
        <x:v>배정 시수</x:v>
      </x:c>
      <x:c r="F8" s="148" t="str">
        <x:v>총시수</x:v>
      </x:c>
      <x:c r="G8" s="148" t="str">
        <x:v>교사 평균</x:v>
      </x:c>
      <x:c r="H8" s="148" t="str">
        <x:v>자체 시수</x:v>
      </x:c>
      <x:c r="I8" s="148" t="str">
        <x:v>배정 시수</x:v>
      </x:c>
      <x:c r="J8" s="148" t="str">
        <x:v>총시수</x:v>
      </x:c>
      <x:c r="K8" s="148" t="str">
        <x:v>교사 평균</x:v>
      </x:c>
      <x:c r="L8" s="148" t="str">
        <x:v>시수 증감</x:v>
      </x:c>
      <x:c r="M8" s="148" t="str">
        <x:v>평균 증감</x:v>
      </x:c>
    </x:row>
    <x:row r="9" ht="24" customHeight="1">
      <x:c r="A9" s="78"/>
      <x:c r="B9" s="78" t="str">
        <x:v>역사</x:v>
      </x:c>
      <x:c r="C9" s="161" t="n">
        <x:f>'2029 배당표'!W13</x:f>
        <x:v>3</x:v>
      </x:c>
      <x:c r="D9" s="161" t="n">
        <x:f>'2029 배당표'!X13</x:f>
        <x:v>45</x:v>
      </x:c>
      <x:c r="E9" s="161" t="n">
        <x:f>'2029 배당표'!Y13</x:f>
        <x:v>15</x:v>
      </x:c>
      <x:c r="F9" s="161" t="n">
        <x:f>'2029 배당표'!Z13</x:f>
        <x:v>60</x:v>
      </x:c>
      <x:c r="G9" s="162" t="n">
        <x:f>'2029 배당표'!AA13</x:f>
        <x:v>20</x:v>
      </x:c>
      <x:c r="H9" s="161" t="n">
        <x:f>'2029 배당표'!X110</x:f>
        <x:v>45</x:v>
      </x:c>
      <x:c r="I9" s="161" t="n">
        <x:f>'2029 배당표'!Y110</x:f>
        <x:v>15</x:v>
      </x:c>
      <x:c r="J9" s="161" t="n">
        <x:f>'2029 배당표'!Z110</x:f>
        <x:v>60</x:v>
      </x:c>
      <x:c r="K9" s="162" t="n">
        <x:f>'2029 배당표'!AA110</x:f>
        <x:v>20</x:v>
      </x:c>
      <x:c r="L9" s="163" t="n">
        <x:f>J9-F9</x:f>
        <x:v>0</x:v>
      </x:c>
      <x:c r="M9" s="164" t="n">
        <x:f>IF(OR(NOT(ISNUMBER(G9)),NOT(ISNUMBER(K9))),"미정",K9-G9)</x:f>
        <x:v>0</x:v>
      </x:c>
    </x:row>
    <x:row r="10" ht="24" customHeight="1">
      <x:c r="A10" s="78"/>
      <x:c r="B10" s="78" t="str">
        <x:v>일반사회</x:v>
      </x:c>
      <x:c r="C10" s="161" t="n">
        <x:f>'2029 배당표'!W24</x:f>
        <x:v>4</x:v>
      </x:c>
      <x:c r="D10" s="161" t="n">
        <x:f>'2029 배당표'!X24</x:f>
        <x:v>51</x:v>
      </x:c>
      <x:c r="E10" s="161" t="n">
        <x:f>'2029 배당표'!Y24</x:f>
        <x:v>20</x:v>
      </x:c>
      <x:c r="F10" s="161" t="n">
        <x:f>'2029 배당표'!Z24</x:f>
        <x:v>71</x:v>
      </x:c>
      <x:c r="G10" s="162" t="n">
        <x:f>'2029 배당표'!AA24</x:f>
        <x:v>17.75</x:v>
      </x:c>
      <x:c r="H10" s="161" t="n">
        <x:f>'2029 배당표'!X121</x:f>
        <x:v>48</x:v>
      </x:c>
      <x:c r="I10" s="161" t="n">
        <x:f>'2029 배당표'!Y121</x:f>
        <x:v>20</x:v>
      </x:c>
      <x:c r="J10" s="161" t="n">
        <x:f>'2029 배당표'!Z121</x:f>
        <x:v>68</x:v>
      </x:c>
      <x:c r="K10" s="162" t="n">
        <x:f>'2029 배당표'!AA121</x:f>
        <x:v>17</x:v>
      </x:c>
      <x:c r="L10" s="163" t="n">
        <x:f>J10-F10</x:f>
        <x:v>-3</x:v>
      </x:c>
      <x:c r="M10" s="164" t="n">
        <x:f>IF(OR(NOT(ISNUMBER(G10)),NOT(ISNUMBER(K10))),"미정",K10-G10)</x:f>
        <x:v>-0.75</x:v>
      </x:c>
    </x:row>
    <x:row r="11" ht="24" customHeight="1">
      <x:c r="A11" s="78"/>
      <x:c r="B11" s="78" t="str">
        <x:v>지리</x:v>
      </x:c>
      <x:c r="C11" s="161" t="n">
        <x:f>'2029 배당표'!W36</x:f>
        <x:v>2</x:v>
      </x:c>
      <x:c r="D11" s="161" t="n">
        <x:f>'2029 배당표'!X36</x:f>
        <x:v>30</x:v>
      </x:c>
      <x:c r="E11" s="161" t="n">
        <x:f>'2029 배당표'!Y36</x:f>
        <x:v>4</x:v>
      </x:c>
      <x:c r="F11" s="161" t="n">
        <x:f>'2029 배당표'!Z36</x:f>
        <x:v>34</x:v>
      </x:c>
      <x:c r="G11" s="162" t="n">
        <x:f>'2029 배당표'!AA36</x:f>
        <x:v>17</x:v>
      </x:c>
      <x:c r="H11" s="161" t="n">
        <x:f>'2029 배당표'!X133</x:f>
        <x:v>27</x:v>
      </x:c>
      <x:c r="I11" s="161" t="n">
        <x:f>'2029 배당표'!Y133</x:f>
        <x:v>8</x:v>
      </x:c>
      <x:c r="J11" s="161" t="n">
        <x:f>'2029 배당표'!Z133</x:f>
        <x:v>35</x:v>
      </x:c>
      <x:c r="K11" s="162" t="n">
        <x:f>'2029 배당표'!AA133</x:f>
        <x:v>17.5</x:v>
      </x:c>
      <x:c r="L11" s="163" t="n">
        <x:f>J11-F11</x:f>
        <x:v>1</x:v>
      </x:c>
      <x:c r="M11" s="164" t="n">
        <x:f>IF(OR(NOT(ISNUMBER(G11)),NOT(ISNUMBER(K11))),"미정",K11-G11)</x:f>
        <x:v>0.5</x:v>
      </x:c>
    </x:row>
    <x:row r="12" ht="24" customHeight="1">
      <x:c r="A12" s="78"/>
      <x:c r="B12" s="78" t="str">
        <x:v>윤리</x:v>
      </x:c>
      <x:c r="C12" s="161" t="n">
        <x:f>'2029 배당표'!W46</x:f>
        <x:v>3</x:v>
      </x:c>
      <x:c r="D12" s="161" t="n">
        <x:f>'2029 배당표'!X46</x:f>
        <x:v>30</x:v>
      </x:c>
      <x:c r="E12" s="161" t="n">
        <x:f>'2029 배당표'!Y46</x:f>
        <x:v>24</x:v>
      </x:c>
      <x:c r="F12" s="161" t="n">
        <x:f>'2029 배당표'!Z46</x:f>
        <x:v>54</x:v>
      </x:c>
      <x:c r="G12" s="162" t="n">
        <x:f>'2029 배당표'!AA46</x:f>
        <x:v>18</x:v>
      </x:c>
      <x:c r="H12" s="161" t="n">
        <x:f>'2029 배당표'!X143</x:f>
        <x:v>30</x:v>
      </x:c>
      <x:c r="I12" s="161" t="n">
        <x:f>'2029 배당표'!Y143</x:f>
        <x:v>20</x:v>
      </x:c>
      <x:c r="J12" s="161" t="n">
        <x:f>'2029 배당표'!Z143</x:f>
        <x:v>50</x:v>
      </x:c>
      <x:c r="K12" s="162" t="n">
        <x:f>'2029 배당표'!AA143</x:f>
        <x:v>16.666666666666668</x:v>
      </x:c>
      <x:c r="L12" s="163" t="n">
        <x:f>J12-F12</x:f>
        <x:v>-4</x:v>
      </x:c>
      <x:c r="M12" s="164" t="n">
        <x:f>IF(OR(NOT(ISNUMBER(G12)),NOT(ISNUMBER(K12))),"미정",K12-G12)</x:f>
        <x:v>-1.3333333333333321</x:v>
      </x:c>
    </x:row>
    <x:row r="13" ht="24" customHeight="1">
      <x:c r="A13" s="78"/>
      <x:c r="B13" s="78" t="str">
        <x:v>물리</x:v>
      </x:c>
      <x:c r="C13" s="161" t="n">
        <x:f>'2029 배당표'!W56</x:f>
        <x:v>2</x:v>
      </x:c>
      <x:c r="D13" s="161" t="n">
        <x:f>'2029 배당표'!X56</x:f>
        <x:v>21</x:v>
      </x:c>
      <x:c r="E13" s="161" t="n">
        <x:f>'2029 배당표'!Y56</x:f>
        <x:v>9</x:v>
      </x:c>
      <x:c r="F13" s="161" t="n">
        <x:f>'2029 배당표'!Z56</x:f>
        <x:v>30</x:v>
      </x:c>
      <x:c r="G13" s="162" t="n">
        <x:f>'2029 배당표'!AA56</x:f>
        <x:v>15</x:v>
      </x:c>
      <x:c r="H13" s="161" t="n">
        <x:f>'2029 배당표'!X153</x:f>
        <x:v>18</x:v>
      </x:c>
      <x:c r="I13" s="161" t="n">
        <x:f>'2029 배당표'!Y153</x:f>
        <x:v>11</x:v>
      </x:c>
      <x:c r="J13" s="161" t="n">
        <x:f>'2029 배당표'!Z153</x:f>
        <x:v>29</x:v>
      </x:c>
      <x:c r="K13" s="162" t="n">
        <x:f>'2029 배당표'!AA153</x:f>
        <x:v>14.5</x:v>
      </x:c>
      <x:c r="L13" s="163" t="n">
        <x:f>J13-F13</x:f>
        <x:v>-1</x:v>
      </x:c>
      <x:c r="M13" s="164" t="n">
        <x:f>IF(OR(NOT(ISNUMBER(G13)),NOT(ISNUMBER(K13))),"미정",K13-G13)</x:f>
        <x:v>-0.5</x:v>
      </x:c>
    </x:row>
    <x:row r="14" ht="24" customHeight="1">
      <x:c r="A14" s="78"/>
      <x:c r="B14" s="78" t="str">
        <x:v>화학</x:v>
      </x:c>
      <x:c r="C14" s="161" t="n">
        <x:f>'2029 배당표'!W67</x:f>
        <x:v>3</x:v>
      </x:c>
      <x:c r="D14" s="161" t="n">
        <x:f>'2029 배당표'!X67</x:f>
        <x:v>39</x:v>
      </x:c>
      <x:c r="E14" s="161" t="n">
        <x:f>'2029 배당표'!Y67</x:f>
        <x:v>6</x:v>
      </x:c>
      <x:c r="F14" s="161" t="n">
        <x:f>'2029 배당표'!Z67</x:f>
        <x:v>45</x:v>
      </x:c>
      <x:c r="G14" s="162" t="n">
        <x:f>'2029 배당표'!AA67</x:f>
        <x:v>15</x:v>
      </x:c>
      <x:c r="H14" s="161" t="n">
        <x:f>'2029 배당표'!X164</x:f>
        <x:v>36</x:v>
      </x:c>
      <x:c r="I14" s="161" t="n">
        <x:f>'2029 배당표'!Y164</x:f>
        <x:v>8</x:v>
      </x:c>
      <x:c r="J14" s="161" t="n">
        <x:f>'2029 배당표'!Z164</x:f>
        <x:v>44</x:v>
      </x:c>
      <x:c r="K14" s="162" t="n">
        <x:f>'2029 배당표'!AA164</x:f>
        <x:v>14.666666666666666</x:v>
      </x:c>
      <x:c r="L14" s="163" t="n">
        <x:f>J14-F14</x:f>
        <x:v>-1</x:v>
      </x:c>
      <x:c r="M14" s="164" t="n">
        <x:f>IF(OR(NOT(ISNUMBER(G14)),NOT(ISNUMBER(K14))),"미정",K14-G14)</x:f>
        <x:v>-0.3333333333333339</x:v>
      </x:c>
    </x:row>
    <x:row r="15" ht="24" customHeight="1">
      <x:c r="A15" s="78"/>
      <x:c r="B15" s="78" t="str">
        <x:v>생물</x:v>
      </x:c>
      <x:c r="C15" s="161" t="n">
        <x:f>'2029 배당표'!W78</x:f>
        <x:v>3</x:v>
      </x:c>
      <x:c r="D15" s="161" t="n">
        <x:f>'2029 배당표'!X78</x:f>
        <x:v>33</x:v>
      </x:c>
      <x:c r="E15" s="161" t="n">
        <x:f>'2029 배당표'!Y78</x:f>
        <x:v>12</x:v>
      </x:c>
      <x:c r="F15" s="161" t="n">
        <x:f>'2029 배당표'!Z78</x:f>
        <x:v>45</x:v>
      </x:c>
      <x:c r="G15" s="162" t="n">
        <x:f>'2029 배당표'!AA78</x:f>
        <x:v>15</x:v>
      </x:c>
      <x:c r="H15" s="161" t="n">
        <x:f>'2029 배당표'!X175</x:f>
        <x:v>33</x:v>
      </x:c>
      <x:c r="I15" s="161" t="n">
        <x:f>'2029 배당표'!Y175</x:f>
        <x:v>10</x:v>
      </x:c>
      <x:c r="J15" s="161" t="n">
        <x:f>'2029 배당표'!Z175</x:f>
        <x:v>43</x:v>
      </x:c>
      <x:c r="K15" s="162" t="n">
        <x:f>'2029 배당표'!AA175</x:f>
        <x:v>14.333333333333334</x:v>
      </x:c>
      <x:c r="L15" s="163" t="n">
        <x:f>J15-F15</x:f>
        <x:v>-2</x:v>
      </x:c>
      <x:c r="M15" s="164" t="n">
        <x:f>IF(OR(NOT(ISNUMBER(G15)),NOT(ISNUMBER(K15))),"미정",K15-G15)</x:f>
        <x:v>-0.6666666666666661</x:v>
      </x:c>
    </x:row>
    <x:row r="16" ht="24" customHeight="1">
      <x:c r="A16" s="78"/>
      <x:c r="B16" s="78" t="str">
        <x:v>지구과학</x:v>
      </x:c>
      <x:c r="C16" s="161" t="n">
        <x:f>'2029 배당표'!W89</x:f>
        <x:v>3</x:v>
      </x:c>
      <x:c r="D16" s="161" t="n">
        <x:f>'2029 배당표'!X89</x:f>
        <x:v>12</x:v>
      </x:c>
      <x:c r="E16" s="161" t="n">
        <x:f>'2029 배당표'!Y89</x:f>
        <x:v>33</x:v>
      </x:c>
      <x:c r="F16" s="161" t="n">
        <x:f>'2029 배당표'!Z89</x:f>
        <x:v>45</x:v>
      </x:c>
      <x:c r="G16" s="162" t="n">
        <x:f>'2029 배당표'!AA89</x:f>
        <x:v>15</x:v>
      </x:c>
      <x:c r="H16" s="161" t="n">
        <x:f>'2029 배당표'!X186</x:f>
        <x:v>12</x:v>
      </x:c>
      <x:c r="I16" s="161" t="n">
        <x:f>'2029 배당표'!Y186</x:f>
        <x:v>31</x:v>
      </x:c>
      <x:c r="J16" s="161" t="n">
        <x:f>'2029 배당표'!Z186</x:f>
        <x:v>43</x:v>
      </x:c>
      <x:c r="K16" s="162" t="n">
        <x:f>'2029 배당표'!AA186</x:f>
        <x:v>14.333333333333334</x:v>
      </x:c>
      <x:c r="L16" s="163" t="n">
        <x:f>J16-F16</x:f>
        <x:v>-2</x:v>
      </x:c>
      <x:c r="M16" s="164" t="n">
        <x:f>IF(OR(NOT(ISNUMBER(G16)),NOT(ISNUMBER(K16))),"미정",K16-G16)</x:f>
        <x:v>-0.6666666666666661</x:v>
      </x:c>
    </x:row>
    <x:row r="17" ht="29" customHeight="1">
      <x:c r="A17" s="78"/>
      <x:c r="B17" s="150" t="str">
        <x:v>사회 전체</x:v>
      </x:c>
      <x:c r="C17" s="165" t="n">
        <x:f>'2029 배당표'!W100</x:f>
        <x:v>12</x:v>
      </x:c>
      <x:c r="D17" s="165" t="n">
        <x:f>'2029 배당표'!X100</x:f>
        <x:v>156</x:v>
      </x:c>
      <x:c r="E17" s="165" t="n">
        <x:f>'2029 배당표'!Y100</x:f>
        <x:v>63</x:v>
      </x:c>
      <x:c r="F17" s="165" t="n">
        <x:f>'2029 배당표'!Z100</x:f>
        <x:v>219</x:v>
      </x:c>
      <x:c r="G17" s="166" t="n">
        <x:f>'2029 배당표'!AA100</x:f>
        <x:v>18.25</x:v>
      </x:c>
      <x:c r="H17" s="165" t="n">
        <x:f>'2029 배당표'!X197</x:f>
        <x:v>150</x:v>
      </x:c>
      <x:c r="I17" s="165" t="n">
        <x:f>'2029 배당표'!Y197</x:f>
        <x:v>63</x:v>
      </x:c>
      <x:c r="J17" s="165" t="n">
        <x:f>'2029 배당표'!Z197</x:f>
        <x:v>213</x:v>
      </x:c>
      <x:c r="K17" s="166" t="n">
        <x:f>'2029 배당표'!AA197</x:f>
        <x:v>17.75</x:v>
      </x:c>
      <x:c r="L17" s="167" t="n">
        <x:f>J17-F17</x:f>
        <x:v>-6</x:v>
      </x:c>
      <x:c r="M17" s="168" t="n">
        <x:f>IF(OR(NOT(ISNUMBER(G17)),NOT(ISNUMBER(K17))),"미정",K17-G17)</x:f>
        <x:v>-0.5</x:v>
      </x:c>
    </x:row>
    <x:row r="18" ht="29" customHeight="1">
      <x:c r="A18" s="78"/>
      <x:c r="B18" s="150" t="str">
        <x:v>과학 전체</x:v>
      </x:c>
      <x:c r="C18" s="165" t="n">
        <x:f>'2029 배당표'!W101</x:f>
        <x:v>11</x:v>
      </x:c>
      <x:c r="D18" s="165" t="n">
        <x:f>'2029 배당표'!X101</x:f>
        <x:v>105</x:v>
      </x:c>
      <x:c r="E18" s="165" t="n">
        <x:f>'2029 배당표'!Y101</x:f>
        <x:v>60</x:v>
      </x:c>
      <x:c r="F18" s="165" t="n">
        <x:f>'2029 배당표'!Z101</x:f>
        <x:v>165</x:v>
      </x:c>
      <x:c r="G18" s="166" t="n">
        <x:f>'2029 배당표'!AA101</x:f>
        <x:v>15</x:v>
      </x:c>
      <x:c r="H18" s="165" t="n">
        <x:f>'2029 배당표'!X198</x:f>
        <x:v>99</x:v>
      </x:c>
      <x:c r="I18" s="165" t="n">
        <x:f>'2029 배당표'!Y198</x:f>
        <x:v>60</x:v>
      </x:c>
      <x:c r="J18" s="165" t="n">
        <x:f>'2029 배당표'!Z198</x:f>
        <x:v>159</x:v>
      </x:c>
      <x:c r="K18" s="166" t="n">
        <x:f>'2029 배당표'!AA198</x:f>
        <x:v>14.454545454545455</x:v>
      </x:c>
      <x:c r="L18" s="167" t="n">
        <x:f>J18-F18</x:f>
        <x:v>-6</x:v>
      </x:c>
      <x:c r="M18" s="168" t="n">
        <x:f>IF(OR(NOT(ISNUMBER(G18)),NOT(ISNUMBER(K18))),"미정",K18-G18)</x:f>
        <x:v>-0.545454545454545</x:v>
      </x:c>
    </x:row>
    <x:row r="19" ht="24" customHeight="1">
      <x:c r="A19" s="78"/>
      <x:c r="B19" s="78"/>
      <x:c r="C19" s="161"/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</x:row>
    <x:row r="20" ht="24" customHeight="1">
      <x:c r="A20" s="78"/>
      <x:c r="B20" s="80" t="str">
        <x:v>자체는 통합·실험·융합을 제외한 시수입니다. 배정은 관련 교과 범위 안에서 받은 시수로, 총시수에 한 번만 합산합니다.</x:v>
      </x:c>
      <x:c r="C20" s="161"/>
      <x:c r="D20" s="161"/>
      <x:c r="E20" s="161"/>
      <x:c r="F20" s="161"/>
      <x:c r="G20" s="161"/>
      <x:c r="H20" s="161"/>
      <x:c r="I20" s="161"/>
      <x:c r="J20" s="161"/>
      <x:c r="K20" s="161"/>
      <x:c r="L20" s="161"/>
      <x:c r="M20" s="161"/>
    </x:row>
    <x:row r="21" ht="24" customHeight="1">
      <x:c r="A21" s="78"/>
      <x:c r="B21" s="80" t="str">
        <x:v>사회 융합은 해당 전문 교과에, 공통·실험 및 여러 교과 관련 융합은 정해진 교과 안에서 배정했습니다.</x:v>
      </x:c>
      <x:c r="C21" s="161"/>
      <x:c r="D21" s="161"/>
      <x:c r="E21" s="161"/>
      <x:c r="F21" s="161"/>
      <x:c r="G21" s="161"/>
      <x:c r="H21" s="161"/>
      <x:c r="I21" s="161"/>
      <x:c r="J21" s="161"/>
      <x:c r="K21" s="161"/>
      <x:c r="L21" s="161"/>
      <x:c r="M21" s="161"/>
    </x:row>
    <x:row r="22" ht="24" customHeight="1">
      <x:c r="A22" s="78"/>
      <x:c r="B22" s="78"/>
      <x:c r="C22" s="161"/>
      <x:c r="D22" s="161"/>
      <x:c r="E22" s="161"/>
      <x:c r="F22" s="161"/>
      <x:c r="G22" s="161"/>
      <x:c r="H22" s="161"/>
      <x:c r="I22" s="161"/>
      <x:c r="J22" s="161"/>
      <x:c r="K22" s="161"/>
      <x:c r="L22" s="161"/>
      <x:c r="M22" s="161"/>
    </x:row>
    <x:row r="23" ht="24" customHeight="1">
      <x:c r="A23" s="78"/>
      <x:c r="B23" s="78"/>
      <x:c r="C23" s="161"/>
      <x:c r="D23" s="161"/>
      <x:c r="E23" s="161"/>
      <x:c r="F23" s="161"/>
      <x:c r="G23" s="161"/>
      <x:c r="H23" s="161"/>
      <x:c r="I23" s="161"/>
      <x:c r="J23" s="161"/>
      <x:c r="K23" s="161"/>
      <x:c r="L23" s="161"/>
      <x:c r="M23" s="161"/>
    </x:row>
    <x:row r="24" ht="28" customHeight="1">
      <x:c r="A24" s="78"/>
      <x:c r="B24" s="82" t="str">
        <x:v>기존안 배정 후 총시수</x:v>
      </x:c>
      <x:c r="C24" s="169"/>
      <x:c r="D24" s="169"/>
      <x:c r="E24" s="169"/>
      <x:c r="F24" s="169"/>
      <x:c r="G24" s="169"/>
      <x:c r="H24" s="169"/>
      <x:c r="I24" s="169"/>
      <x:c r="J24" s="161"/>
      <x:c r="K24" s="161"/>
      <x:c r="L24" s="161"/>
      <x:c r="M24" s="161"/>
    </x:row>
    <x:row r="25" ht="40" customHeight="1">
      <x:c r="A25" s="78"/>
      <x:c r="B25" s="173" t="str">
        <x:v>담당 교과</x:v>
      </x:c>
      <x:c r="C25" s="173" t="str">
        <x:v>2027
1학기</x:v>
      </x:c>
      <x:c r="D25" s="173" t="str">
        <x:v>2027
2학기</x:v>
      </x:c>
      <x:c r="E25" s="173" t="str">
        <x:v>2028
1학기</x:v>
      </x:c>
      <x:c r="F25" s="173" t="str">
        <x:v>2028
2학기</x:v>
      </x:c>
      <x:c r="G25" s="173" t="str">
        <x:v>2029
1학기</x:v>
      </x:c>
      <x:c r="H25" s="173" t="str">
        <x:v>2029
2학기</x:v>
      </x:c>
      <x:c r="I25" s="173" t="str">
        <x:v>교사 수</x:v>
      </x:c>
      <x:c r="J25" s="161"/>
      <x:c r="K25" s="161"/>
      <x:c r="L25" s="161"/>
      <x:c r="M25" s="161"/>
    </x:row>
    <x:row r="26" ht="24" customHeight="1">
      <x:c r="A26" s="78"/>
      <x:c r="B26" s="78" t="str">
        <x:v>역사</x:v>
      </x:c>
      <x:c r="C26" s="91" t="n">
        <x:f>'2027 배당표'!Z13</x:f>
        <x:v>60</x:v>
      </x:c>
      <x:c r="D26" s="91" t="n">
        <x:f>'2027 배당표'!AD13</x:f>
        <x:v>54</x:v>
      </x:c>
      <x:c r="E26" s="91" t="n">
        <x:f>'2028 배당표'!Z13</x:f>
        <x:v>57</x:v>
      </x:c>
      <x:c r="F26" s="91" t="n">
        <x:f>'2028 배당표'!AD13</x:f>
        <x:v>50</x:v>
      </x:c>
      <x:c r="G26" s="91" t="n">
        <x:f>'2029 배당표'!Z13</x:f>
        <x:v>60</x:v>
      </x:c>
      <x:c r="H26" s="91" t="n">
        <x:f>'2029 배당표'!AD13</x:f>
        <x:v>50</x:v>
      </x:c>
      <x:c r="I26" s="161" t="n">
        <x:f>C9</x:f>
        <x:v>3</x:v>
      </x:c>
      <x:c r="J26" s="161"/>
      <x:c r="K26" s="161"/>
      <x:c r="L26" s="161"/>
      <x:c r="M26" s="161"/>
    </x:row>
    <x:row r="27" ht="24" customHeight="1">
      <x:c r="A27" s="78"/>
      <x:c r="B27" s="78" t="str">
        <x:v>일반사회</x:v>
      </x:c>
      <x:c r="C27" s="91" t="n">
        <x:f>'2027 배당표'!Z26</x:f>
        <x:v>76</x:v>
      </x:c>
      <x:c r="D27" s="91" t="n">
        <x:f>'2027 배당표'!AD26</x:f>
        <x:v>74</x:v>
      </x:c>
      <x:c r="E27" s="91" t="n">
        <x:f>'2028 배당표'!Z26</x:f>
        <x:v>71</x:v>
      </x:c>
      <x:c r="F27" s="91" t="n">
        <x:f>'2028 배당표'!AD26</x:f>
        <x:v>65</x:v>
      </x:c>
      <x:c r="G27" s="91" t="n">
        <x:f>'2029 배당표'!Z24</x:f>
        <x:v>71</x:v>
      </x:c>
      <x:c r="H27" s="91" t="n">
        <x:f>'2029 배당표'!AD24</x:f>
        <x:v>66</x:v>
      </x:c>
      <x:c r="I27" s="161" t="n">
        <x:f>C10</x:f>
        <x:v>4</x:v>
      </x:c>
      <x:c r="J27" s="161"/>
      <x:c r="K27" s="161"/>
      <x:c r="L27" s="161"/>
      <x:c r="M27" s="161"/>
    </x:row>
    <x:row r="28" ht="24" customHeight="1">
      <x:c r="A28" s="78"/>
      <x:c r="B28" s="78" t="str">
        <x:v>지리</x:v>
      </x:c>
      <x:c r="C28" s="91" t="n">
        <x:f>'2027 배당표'!Z40</x:f>
        <x:v>38</x:v>
      </x:c>
      <x:c r="D28" s="91" t="n">
        <x:f>'2027 배당표'!AD40</x:f>
        <x:v>39</x:v>
      </x:c>
      <x:c r="E28" s="91" t="n">
        <x:f>'2028 배당표'!Z40</x:f>
        <x:v>37</x:v>
      </x:c>
      <x:c r="F28" s="91" t="n">
        <x:f>'2028 배당표'!AD40</x:f>
        <x:v>33</x:v>
      </x:c>
      <x:c r="G28" s="91" t="n">
        <x:f>'2029 배당표'!Z36</x:f>
        <x:v>34</x:v>
      </x:c>
      <x:c r="H28" s="91" t="n">
        <x:f>'2029 배당표'!AD36</x:f>
        <x:v>31</x:v>
      </x:c>
      <x:c r="I28" s="161" t="n">
        <x:f>C11</x:f>
        <x:v>2</x:v>
      </x:c>
      <x:c r="J28" s="161"/>
      <x:c r="K28" s="161"/>
      <x:c r="L28" s="161"/>
      <x:c r="M28" s="161"/>
    </x:row>
    <x:row r="29" ht="24" customHeight="1">
      <x:c r="A29" s="78"/>
      <x:c r="B29" s="78" t="str">
        <x:v>윤리</x:v>
      </x:c>
      <x:c r="C29" s="91" t="n">
        <x:f>'2027 배당표'!Z52</x:f>
        <x:v>54</x:v>
      </x:c>
      <x:c r="D29" s="91" t="n">
        <x:f>'2027 배당표'!AD52</x:f>
        <x:v>55</x:v>
      </x:c>
      <x:c r="E29" s="91" t="n">
        <x:f>'2028 배당표'!Z52</x:f>
        <x:v>51</x:v>
      </x:c>
      <x:c r="F29" s="91" t="n">
        <x:f>'2028 배당표'!AD52</x:f>
        <x:v>47</x:v>
      </x:c>
      <x:c r="G29" s="91" t="n">
        <x:f>'2029 배당표'!Z46</x:f>
        <x:v>54</x:v>
      </x:c>
      <x:c r="H29" s="91" t="n">
        <x:f>'2029 배당표'!AD46</x:f>
        <x:v>51</x:v>
      </x:c>
      <x:c r="I29" s="161" t="n">
        <x:f>C12</x:f>
        <x:v>3</x:v>
      </x:c>
      <x:c r="J29" s="161"/>
      <x:c r="K29" s="161"/>
      <x:c r="L29" s="161"/>
      <x:c r="M29" s="161"/>
    </x:row>
    <x:row r="30" ht="24" customHeight="1">
      <x:c r="A30" s="78"/>
      <x:c r="B30" s="78" t="str">
        <x:v>물리</x:v>
      </x:c>
      <x:c r="C30" s="91" t="n">
        <x:f>'2027 배당표'!Z64</x:f>
        <x:v>33</x:v>
      </x:c>
      <x:c r="D30" s="91" t="n">
        <x:f>'2027 배당표'!AD64</x:f>
        <x:v>36</x:v>
      </x:c>
      <x:c r="E30" s="91" t="n">
        <x:f>'2028 배당표'!Z64</x:f>
        <x:v>30</x:v>
      </x:c>
      <x:c r="F30" s="91" t="n">
        <x:f>'2028 배당표'!AD64</x:f>
        <x:v>39</x:v>
      </x:c>
      <x:c r="G30" s="91" t="n">
        <x:f>'2029 배당표'!Z56</x:f>
        <x:v>30</x:v>
      </x:c>
      <x:c r="H30" s="91" t="n">
        <x:f>'2029 배당표'!AD56</x:f>
        <x:v>36</x:v>
      </x:c>
      <x:c r="I30" s="161" t="n">
        <x:f>C13</x:f>
        <x:v>2</x:v>
      </x:c>
      <x:c r="J30" s="161"/>
      <x:c r="K30" s="161"/>
      <x:c r="L30" s="161"/>
      <x:c r="M30" s="161"/>
    </x:row>
    <x:row r="31" ht="24" customHeight="1">
      <x:c r="A31" s="78"/>
      <x:c r="B31" s="78" t="str">
        <x:v>화학</x:v>
      </x:c>
      <x:c r="C31" s="91" t="n">
        <x:f>'2027 배당표'!Z75</x:f>
        <x:v>57</x:v>
      </x:c>
      <x:c r="D31" s="91" t="n">
        <x:f>'2027 배당표'!AD75</x:f>
        <x:v>53</x:v>
      </x:c>
      <x:c r="E31" s="91" t="n">
        <x:f>'2028 배당표'!Z75</x:f>
        <x:v>60</x:v>
      </x:c>
      <x:c r="F31" s="91" t="n">
        <x:f>'2028 배당표'!AD75</x:f>
        <x:v>58</x:v>
      </x:c>
      <x:c r="G31" s="91" t="n">
        <x:f>'2029 배당표'!Z67</x:f>
        <x:v>45</x:v>
      </x:c>
      <x:c r="H31" s="91" t="n">
        <x:f>'2029 배당표'!AD67</x:f>
        <x:v>54</x:v>
      </x:c>
      <x:c r="I31" s="161" t="n">
        <x:f>C14</x:f>
        <x:v>3</x:v>
      </x:c>
      <x:c r="J31" s="161"/>
      <x:c r="K31" s="161"/>
      <x:c r="L31" s="161"/>
      <x:c r="M31" s="161"/>
    </x:row>
    <x:row r="32" ht="24" customHeight="1">
      <x:c r="A32" s="78"/>
      <x:c r="B32" s="78" t="str">
        <x:v>생물</x:v>
      </x:c>
      <x:c r="C32" s="91" t="n">
        <x:f>'2027 배당표'!Z86</x:f>
        <x:v>50</x:v>
      </x:c>
      <x:c r="D32" s="91" t="n">
        <x:f>'2027 배당표'!AD86</x:f>
        <x:v>53</x:v>
      </x:c>
      <x:c r="E32" s="91" t="n">
        <x:f>'2028 배당표'!Z86</x:f>
        <x:v>45</x:v>
      </x:c>
      <x:c r="F32" s="91" t="n">
        <x:f>'2028 배당표'!AD86</x:f>
        <x:v>58</x:v>
      </x:c>
      <x:c r="G32" s="91" t="n">
        <x:f>'2029 배당표'!Z78</x:f>
        <x:v>45</x:v>
      </x:c>
      <x:c r="H32" s="91" t="n">
        <x:f>'2029 배당표'!AD78</x:f>
        <x:v>54</x:v>
      </x:c>
      <x:c r="I32" s="161" t="n">
        <x:f>C15</x:f>
        <x:v>3</x:v>
      </x:c>
      <x:c r="J32" s="161"/>
      <x:c r="K32" s="161"/>
      <x:c r="L32" s="161"/>
      <x:c r="M32" s="161"/>
    </x:row>
    <x:row r="33" ht="24" customHeight="1">
      <x:c r="A33" s="78"/>
      <x:c r="B33" s="78" t="str">
        <x:v>지구과학</x:v>
      </x:c>
      <x:c r="C33" s="91" t="n">
        <x:f>'2027 배당표'!Z97</x:f>
        <x:v>49</x:v>
      </x:c>
      <x:c r="D33" s="91" t="n">
        <x:f>'2027 배당표'!AD97</x:f>
        <x:v>53</x:v>
      </x:c>
      <x:c r="E33" s="91" t="n">
        <x:f>'2028 배당표'!Z97</x:f>
        <x:v>45</x:v>
      </x:c>
      <x:c r="F33" s="91" t="n">
        <x:f>'2028 배당표'!AD97</x:f>
        <x:v>58</x:v>
      </x:c>
      <x:c r="G33" s="91" t="n">
        <x:f>'2029 배당표'!Z89</x:f>
        <x:v>45</x:v>
      </x:c>
      <x:c r="H33" s="91" t="n">
        <x:f>'2029 배당표'!AD89</x:f>
        <x:v>54</x:v>
      </x:c>
      <x:c r="I33" s="161" t="n">
        <x:f>C16</x:f>
        <x:v>3</x:v>
      </x:c>
      <x:c r="J33" s="161"/>
      <x:c r="K33" s="161"/>
      <x:c r="L33" s="161"/>
      <x:c r="M33" s="161"/>
    </x:row>
    <x:row r="34" ht="28" customHeight="1">
      <x:c r="A34" s="78"/>
      <x:c r="B34" s="150" t="str">
        <x:v>사회 전체</x:v>
      </x:c>
      <x:c r="C34" s="171" t="n">
        <x:f>'2027 배당표'!Z108</x:f>
        <x:v>228</x:v>
      </x:c>
      <x:c r="D34" s="171" t="n">
        <x:f>'2027 배당표'!AD108</x:f>
        <x:v>222</x:v>
      </x:c>
      <x:c r="E34" s="171" t="n">
        <x:f>'2028 배당표'!Z108</x:f>
        <x:v>216</x:v>
      </x:c>
      <x:c r="F34" s="171" t="n">
        <x:f>'2028 배당표'!AD108</x:f>
        <x:v>195</x:v>
      </x:c>
      <x:c r="G34" s="171" t="n">
        <x:f>'2029 배당표'!Z100</x:f>
        <x:v>219</x:v>
      </x:c>
      <x:c r="H34" s="171" t="n">
        <x:f>'2029 배당표'!AD100</x:f>
        <x:v>198</x:v>
      </x:c>
      <x:c r="I34" s="165" t="n">
        <x:f>C17</x:f>
        <x:v>12</x:v>
      </x:c>
      <x:c r="J34" s="161"/>
      <x:c r="K34" s="161"/>
      <x:c r="L34" s="161"/>
      <x:c r="M34" s="161"/>
    </x:row>
    <x:row r="35" ht="28" customHeight="1">
      <x:c r="A35" s="78"/>
      <x:c r="B35" s="150" t="str">
        <x:v>과학 전체</x:v>
      </x:c>
      <x:c r="C35" s="171" t="n">
        <x:f>'2027 배당표'!Z109</x:f>
        <x:v>189</x:v>
      </x:c>
      <x:c r="D35" s="171" t="n">
        <x:f>'2027 배당표'!AD109</x:f>
        <x:v>195</x:v>
      </x:c>
      <x:c r="E35" s="171" t="n">
        <x:f>'2028 배당표'!Z109</x:f>
        <x:v>180</x:v>
      </x:c>
      <x:c r="F35" s="171" t="n">
        <x:f>'2028 배당표'!AD109</x:f>
        <x:v>213</x:v>
      </x:c>
      <x:c r="G35" s="171" t="n">
        <x:f>'2029 배당표'!Z101</x:f>
        <x:v>165</x:v>
      </x:c>
      <x:c r="H35" s="171" t="n">
        <x:f>'2029 배당표'!AD101</x:f>
        <x:v>198</x:v>
      </x:c>
      <x:c r="I35" s="165" t="n">
        <x:f>C18</x:f>
        <x:v>11</x:v>
      </x:c>
      <x:c r="J35" s="161"/>
      <x:c r="K35" s="161"/>
      <x:c r="L35" s="161"/>
      <x:c r="M35" s="161"/>
    </x:row>
    <x:row r="36" ht="24" customHeight="1">
      <x:c r="A36" s="78"/>
      <x:c r="B36" s="78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</x:row>
    <x:row r="37" ht="24" customHeight="1">
      <x:c r="A37" s="78"/>
      <x:c r="B37" s="80" t="str">
        <x:v>2027·2028년과 2029년 2학기는 변경안도 위 총시수와 같습니다. 2029년 1학기 차이는 상단 비교표에서 확인합니다.</x:v>
      </x:c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</x:row>
    <x:row r="38" ht="24" customHeight="1">
      <x:c r="A38" s="78"/>
      <x:c r="B38" s="78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</x:row>
    <x:row r="39" ht="24" customHeight="1">
      <x:c r="A39" s="78"/>
      <x:c r="B39" s="78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</x:row>
    <x:row r="40" ht="24" customHeight="1">
      <x:c r="A40" s="78"/>
      <x:c r="B40" s="78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</x:row>
    <x:row r="41" ht="28" customHeight="1">
      <x:c r="A41" s="78"/>
      <x:c r="B41" s="82" t="str">
        <x:v>기존안 배정 후 교사 1인당 평균</x:v>
      </x:c>
      <x:c r="C41" s="169"/>
      <x:c r="D41" s="169"/>
      <x:c r="E41" s="169"/>
      <x:c r="F41" s="169"/>
      <x:c r="G41" s="169"/>
      <x:c r="H41" s="169"/>
      <x:c r="I41" s="169"/>
      <x:c r="J41" s="161"/>
      <x:c r="K41" s="161"/>
      <x:c r="L41" s="161"/>
      <x:c r="M41" s="161"/>
    </x:row>
    <x:row r="42" ht="40" customHeight="1">
      <x:c r="A42" s="78"/>
      <x:c r="B42" s="173" t="str">
        <x:v>담당 교과</x:v>
      </x:c>
      <x:c r="C42" s="173" t="str">
        <x:v>2027
1학기</x:v>
      </x:c>
      <x:c r="D42" s="173" t="str">
        <x:v>2027
2학기</x:v>
      </x:c>
      <x:c r="E42" s="173" t="str">
        <x:v>2028
1학기</x:v>
      </x:c>
      <x:c r="F42" s="173" t="str">
        <x:v>2028
2학기</x:v>
      </x:c>
      <x:c r="G42" s="173" t="str">
        <x:v>2029
1학기</x:v>
      </x:c>
      <x:c r="H42" s="173" t="str">
        <x:v>2029
2학기</x:v>
      </x:c>
      <x:c r="I42" s="173" t="str">
        <x:v>교사 수</x:v>
      </x:c>
      <x:c r="J42" s="161"/>
      <x:c r="K42" s="161"/>
      <x:c r="L42" s="161"/>
      <x:c r="M42" s="161"/>
    </x:row>
    <x:row r="43" ht="24" customHeight="1">
      <x:c r="A43" s="78"/>
      <x:c r="B43" s="78" t="str">
        <x:v>역사</x:v>
      </x:c>
      <x:c r="C43" s="172" t="n">
        <x:f>'2027 배당표'!AA13</x:f>
        <x:v>20</x:v>
      </x:c>
      <x:c r="D43" s="172" t="n">
        <x:f>'2027 배당표'!AE13</x:f>
        <x:v>18</x:v>
      </x:c>
      <x:c r="E43" s="172" t="n">
        <x:f>'2028 배당표'!AA13</x:f>
        <x:v>19</x:v>
      </x:c>
      <x:c r="F43" s="172" t="n">
        <x:f>'2028 배당표'!AE13</x:f>
        <x:v>16.666666666666668</x:v>
      </x:c>
      <x:c r="G43" s="172" t="n">
        <x:f>'2029 배당표'!AA13</x:f>
        <x:v>20</x:v>
      </x:c>
      <x:c r="H43" s="172" t="n">
        <x:f>'2029 배당표'!AE13</x:f>
        <x:v>16.666666666666668</x:v>
      </x:c>
      <x:c r="I43" s="161" t="n">
        <x:f>C9</x:f>
        <x:v>3</x:v>
      </x:c>
      <x:c r="J43" s="161"/>
      <x:c r="K43" s="161"/>
      <x:c r="L43" s="161"/>
      <x:c r="M43" s="161"/>
    </x:row>
    <x:row r="44" ht="24" customHeight="1">
      <x:c r="A44" s="78"/>
      <x:c r="B44" s="78" t="str">
        <x:v>일반사회</x:v>
      </x:c>
      <x:c r="C44" s="172" t="n">
        <x:f>'2027 배당표'!AA26</x:f>
        <x:v>19</x:v>
      </x:c>
      <x:c r="D44" s="172" t="n">
        <x:f>'2027 배당표'!AE26</x:f>
        <x:v>18.5</x:v>
      </x:c>
      <x:c r="E44" s="172" t="n">
        <x:f>'2028 배당표'!AA26</x:f>
        <x:v>17.75</x:v>
      </x:c>
      <x:c r="F44" s="172" t="n">
        <x:f>'2028 배당표'!AE26</x:f>
        <x:v>16.25</x:v>
      </x:c>
      <x:c r="G44" s="172" t="n">
        <x:f>'2029 배당표'!AA24</x:f>
        <x:v>17.75</x:v>
      </x:c>
      <x:c r="H44" s="172" t="n">
        <x:f>'2029 배당표'!AE24</x:f>
        <x:v>16.5</x:v>
      </x:c>
      <x:c r="I44" s="161" t="n">
        <x:f>C10</x:f>
        <x:v>4</x:v>
      </x:c>
      <x:c r="J44" s="161"/>
      <x:c r="K44" s="161"/>
      <x:c r="L44" s="161"/>
      <x:c r="M44" s="161"/>
    </x:row>
    <x:row r="45" ht="24" customHeight="1">
      <x:c r="A45" s="78"/>
      <x:c r="B45" s="78" t="str">
        <x:v>지리</x:v>
      </x:c>
      <x:c r="C45" s="172" t="n">
        <x:f>'2027 배당표'!AA40</x:f>
        <x:v>19</x:v>
      </x:c>
      <x:c r="D45" s="172" t="n">
        <x:f>'2027 배당표'!AE40</x:f>
        <x:v>19.5</x:v>
      </x:c>
      <x:c r="E45" s="172" t="n">
        <x:f>'2028 배당표'!AA40</x:f>
        <x:v>18.5</x:v>
      </x:c>
      <x:c r="F45" s="172" t="n">
        <x:f>'2028 배당표'!AE40</x:f>
        <x:v>16.5</x:v>
      </x:c>
      <x:c r="G45" s="172" t="n">
        <x:f>'2029 배당표'!AA36</x:f>
        <x:v>17</x:v>
      </x:c>
      <x:c r="H45" s="172" t="n">
        <x:f>'2029 배당표'!AE36</x:f>
        <x:v>15.5</x:v>
      </x:c>
      <x:c r="I45" s="161" t="n">
        <x:f>C11</x:f>
        <x:v>2</x:v>
      </x:c>
      <x:c r="J45" s="161"/>
      <x:c r="K45" s="161"/>
      <x:c r="L45" s="161"/>
      <x:c r="M45" s="161"/>
    </x:row>
    <x:row r="46" ht="24" customHeight="1">
      <x:c r="A46" s="78"/>
      <x:c r="B46" s="78" t="str">
        <x:v>윤리</x:v>
      </x:c>
      <x:c r="C46" s="172" t="n">
        <x:f>'2027 배당표'!AA52</x:f>
        <x:v>18</x:v>
      </x:c>
      <x:c r="D46" s="172" t="n">
        <x:f>'2027 배당표'!AE52</x:f>
        <x:v>18.333333333333332</x:v>
      </x:c>
      <x:c r="E46" s="172" t="n">
        <x:f>'2028 배당표'!AA52</x:f>
        <x:v>17</x:v>
      </x:c>
      <x:c r="F46" s="172" t="n">
        <x:f>'2028 배당표'!AE52</x:f>
        <x:v>15.666666666666666</x:v>
      </x:c>
      <x:c r="G46" s="172" t="n">
        <x:f>'2029 배당표'!AA46</x:f>
        <x:v>18</x:v>
      </x:c>
      <x:c r="H46" s="172" t="n">
        <x:f>'2029 배당표'!AE46</x:f>
        <x:v>17</x:v>
      </x:c>
      <x:c r="I46" s="161" t="n">
        <x:f>C12</x:f>
        <x:v>3</x:v>
      </x:c>
      <x:c r="J46" s="161"/>
      <x:c r="K46" s="161"/>
      <x:c r="L46" s="161"/>
      <x:c r="M46" s="161"/>
    </x:row>
    <x:row r="47" ht="24" customHeight="1">
      <x:c r="A47" s="78"/>
      <x:c r="B47" s="78" t="str">
        <x:v>물리</x:v>
      </x:c>
      <x:c r="C47" s="172" t="n">
        <x:f>'2027 배당표'!AA64</x:f>
        <x:v>16.5</x:v>
      </x:c>
      <x:c r="D47" s="172" t="n">
        <x:f>'2027 배당표'!AE64</x:f>
        <x:v>18</x:v>
      </x:c>
      <x:c r="E47" s="172" t="n">
        <x:f>'2028 배당표'!AA64</x:f>
        <x:v>15</x:v>
      </x:c>
      <x:c r="F47" s="172" t="n">
        <x:f>'2028 배당표'!AE64</x:f>
        <x:v>19.5</x:v>
      </x:c>
      <x:c r="G47" s="172" t="n">
        <x:f>'2029 배당표'!AA56</x:f>
        <x:v>15</x:v>
      </x:c>
      <x:c r="H47" s="172" t="n">
        <x:f>'2029 배당표'!AE56</x:f>
        <x:v>18</x:v>
      </x:c>
      <x:c r="I47" s="161" t="n">
        <x:f>C13</x:f>
        <x:v>2</x:v>
      </x:c>
      <x:c r="J47" s="161"/>
      <x:c r="K47" s="161"/>
      <x:c r="L47" s="161"/>
      <x:c r="M47" s="161"/>
    </x:row>
    <x:row r="48" ht="24" customHeight="1">
      <x:c r="A48" s="78"/>
      <x:c r="B48" s="78" t="str">
        <x:v>화학</x:v>
      </x:c>
      <x:c r="C48" s="172" t="n">
        <x:f>'2027 배당표'!AA75</x:f>
        <x:v>19</x:v>
      </x:c>
      <x:c r="D48" s="172" t="n">
        <x:f>'2027 배당표'!AE75</x:f>
        <x:v>17.666666666666668</x:v>
      </x:c>
      <x:c r="E48" s="172" t="n">
        <x:f>'2028 배당표'!AA75</x:f>
        <x:v>20</x:v>
      </x:c>
      <x:c r="F48" s="172" t="n">
        <x:f>'2028 배당표'!AE75</x:f>
        <x:v>19.333333333333332</x:v>
      </x:c>
      <x:c r="G48" s="172" t="n">
        <x:f>'2029 배당표'!AA67</x:f>
        <x:v>15</x:v>
      </x:c>
      <x:c r="H48" s="172" t="n">
        <x:f>'2029 배당표'!AE67</x:f>
        <x:v>18</x:v>
      </x:c>
      <x:c r="I48" s="161" t="n">
        <x:f>C14</x:f>
        <x:v>3</x:v>
      </x:c>
      <x:c r="J48" s="161"/>
      <x:c r="K48" s="161"/>
      <x:c r="L48" s="161"/>
      <x:c r="M48" s="161"/>
    </x:row>
    <x:row r="49" ht="24" customHeight="1">
      <x:c r="A49" s="78"/>
      <x:c r="B49" s="78" t="str">
        <x:v>생물</x:v>
      </x:c>
      <x:c r="C49" s="172" t="n">
        <x:f>'2027 배당표'!AA86</x:f>
        <x:v>16.666666666666668</x:v>
      </x:c>
      <x:c r="D49" s="172" t="n">
        <x:f>'2027 배당표'!AE86</x:f>
        <x:v>17.666666666666668</x:v>
      </x:c>
      <x:c r="E49" s="172" t="n">
        <x:f>'2028 배당표'!AA86</x:f>
        <x:v>15</x:v>
      </x:c>
      <x:c r="F49" s="172" t="n">
        <x:f>'2028 배당표'!AE86</x:f>
        <x:v>19.333333333333332</x:v>
      </x:c>
      <x:c r="G49" s="172" t="n">
        <x:f>'2029 배당표'!AA78</x:f>
        <x:v>15</x:v>
      </x:c>
      <x:c r="H49" s="172" t="n">
        <x:f>'2029 배당표'!AE78</x:f>
        <x:v>18</x:v>
      </x:c>
      <x:c r="I49" s="161" t="n">
        <x:f>C15</x:f>
        <x:v>3</x:v>
      </x:c>
      <x:c r="J49" s="161"/>
      <x:c r="K49" s="161"/>
      <x:c r="L49" s="161"/>
      <x:c r="M49" s="161"/>
    </x:row>
    <x:row r="50" ht="24" customHeight="1">
      <x:c r="A50" s="78"/>
      <x:c r="B50" s="78" t="str">
        <x:v>지구과학</x:v>
      </x:c>
      <x:c r="C50" s="172" t="n">
        <x:f>'2027 배당표'!AA97</x:f>
        <x:v>16.333333333333332</x:v>
      </x:c>
      <x:c r="D50" s="172" t="n">
        <x:f>'2027 배당표'!AE97</x:f>
        <x:v>17.666666666666668</x:v>
      </x:c>
      <x:c r="E50" s="172" t="n">
        <x:f>'2028 배당표'!AA97</x:f>
        <x:v>15</x:v>
      </x:c>
      <x:c r="F50" s="172" t="n">
        <x:f>'2028 배당표'!AE97</x:f>
        <x:v>19.333333333333332</x:v>
      </x:c>
      <x:c r="G50" s="172" t="n">
        <x:f>'2029 배당표'!AA89</x:f>
        <x:v>15</x:v>
      </x:c>
      <x:c r="H50" s="172" t="n">
        <x:f>'2029 배당표'!AE89</x:f>
        <x:v>18</x:v>
      </x:c>
      <x:c r="I50" s="161" t="n">
        <x:f>C16</x:f>
        <x:v>3</x:v>
      </x:c>
      <x:c r="J50" s="161"/>
      <x:c r="K50" s="161"/>
      <x:c r="L50" s="161"/>
      <x:c r="M50" s="161"/>
    </x:row>
    <x:row r="51" ht="28" customHeight="1">
      <x:c r="A51" s="78"/>
      <x:c r="B51" s="150" t="str">
        <x:v>사회 전체</x:v>
      </x:c>
      <x:c r="C51" s="166" t="n">
        <x:f>'2027 배당표'!AA108</x:f>
        <x:v>19</x:v>
      </x:c>
      <x:c r="D51" s="166" t="n">
        <x:f>'2027 배당표'!AE108</x:f>
        <x:v>18.5</x:v>
      </x:c>
      <x:c r="E51" s="166" t="n">
        <x:f>'2028 배당표'!AA108</x:f>
        <x:v>18</x:v>
      </x:c>
      <x:c r="F51" s="166" t="n">
        <x:f>'2028 배당표'!AE108</x:f>
        <x:v>16.25</x:v>
      </x:c>
      <x:c r="G51" s="166" t="n">
        <x:f>'2029 배당표'!AA100</x:f>
        <x:v>18.25</x:v>
      </x:c>
      <x:c r="H51" s="166" t="n">
        <x:f>'2029 배당표'!AE100</x:f>
        <x:v>16.5</x:v>
      </x:c>
      <x:c r="I51" s="165" t="n">
        <x:f>C17</x:f>
        <x:v>12</x:v>
      </x:c>
      <x:c r="J51" s="161"/>
      <x:c r="K51" s="161"/>
      <x:c r="L51" s="161"/>
      <x:c r="M51" s="161"/>
    </x:row>
    <x:row r="52" ht="28" customHeight="1">
      <x:c r="A52" s="78"/>
      <x:c r="B52" s="150" t="str">
        <x:v>과학 전체</x:v>
      </x:c>
      <x:c r="C52" s="166" t="n">
        <x:f>'2027 배당표'!AA109</x:f>
        <x:v>17.181818181818183</x:v>
      </x:c>
      <x:c r="D52" s="166" t="n">
        <x:f>'2027 배당표'!AE109</x:f>
        <x:v>17.727272727272727</x:v>
      </x:c>
      <x:c r="E52" s="166" t="n">
        <x:f>'2028 배당표'!AA109</x:f>
        <x:v>16.363636363636363</x:v>
      </x:c>
      <x:c r="F52" s="166" t="n">
        <x:f>'2028 배당표'!AE109</x:f>
        <x:v>19.363636363636363</x:v>
      </x:c>
      <x:c r="G52" s="166" t="n">
        <x:f>'2029 배당표'!AA101</x:f>
        <x:v>15</x:v>
      </x:c>
      <x:c r="H52" s="166" t="n">
        <x:f>'2029 배당표'!AE101</x:f>
        <x:v>18</x:v>
      </x:c>
      <x:c r="I52" s="165" t="n">
        <x:f>C18</x:f>
        <x:v>11</x:v>
      </x:c>
      <x:c r="J52" s="161"/>
      <x:c r="K52" s="161"/>
      <x:c r="L52" s="161"/>
      <x:c r="M52" s="161"/>
    </x:row>
    <x:row r="53" ht="24" customHeight="1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</x:row>
    <x:row r="54" ht="24" customHeight="1">
      <x:c r="A54" s="78"/>
      <x:c r="B54" s="80" t="str">
        <x:v>배정 기준: 교육과정상 관련 교과를 먼저 정하고, 그 범위 안에서 한 반 단위로 교사 1인당 시수 차이를 줄였습니다.</x:v>
      </x:c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</x:row>
    <x:row r="55" ht="24" customHeight="1">
      <x:c r="A55" s="78"/>
      <x:c r="B55" s="80" t="str">
        <x:v>과목별 담당 범위와 PDF 근거 쪽수는 공통융합 배정 시트 71행부터 확인합니다. 자체 과목은 이동하지 않았습니다.</x:v>
      </x:c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</x:row>
    <x:row r="56" ht="24" customHeight="1">
      <x:c r="A56" s="78"/>
      <x:c r="B56" s="80" t="str">
        <x:v>교사 수를 수정하면 평균은 갱신됩니다. 배정 반 수는 자동 최적화되지 않으므로 공통융합 배정 시트에서 조정해야 합니다.</x:v>
      </x:c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</x:row>
    <x:row r="57" ht="24" customHeight="1">
      <x:c r="A57" s="78"/>
      <x:c r="B57" s="80" t="str">
        <x:v>연도별 배당표에서 학년·학기별 과목명, 반당 시수, 개설 반 수, 교과 시수를 확인할 수 있습니다. 2029년은 두 안을 함께 실었습니다.</x:v>
      </x:c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</x:row>
    <x:row r="58" ht="24" customHeight="1">
      <x:c r="A58" s="78"/>
      <x:c r="B58" s="80" t="str">
        <x:v>2027년은 최종 선택자료, 2028·2029년은 경제·윤리 수요 보정·총반수 조정 가정안입니다. 2027 입학생부터는 12학급입니다.</x:v>
      </x:c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</x:row>
    <x:row r="59" ht="24" customHeight="1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</x:row>
    <x:row r="60" ht="24" customHeight="1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</x:row>
    <x:row r="61" ht="24" customHeight="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</x:row>
    <x:row r="62" ht="24" customHeight="1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</x:row>
    <x:row r="63" ht="24" customHeight="1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</x:row>
    <x:row r="64" ht="24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</x:row>
    <x:row r="65" ht="24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</x:row>
    <x:row r="66" ht="24" customHeight="1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</x:row>
    <x:row r="67" ht="24" customHeight="1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</x:row>
  </x:sheetData>
  <x:mergeCells>
    <x:mergeCell ref="B7:B8"/>
    <x:mergeCell ref="C7:C8"/>
    <x:mergeCell ref="D7:G7"/>
    <x:mergeCell ref="H7:K7"/>
    <x:mergeCell ref="L7:M7"/>
  </x:mergeCells>
  <x:conditionalFormatting sqref="L9:M18">
    <x:cfRule type="cellIs" dxfId="62" priority="1" operator="less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8949D"/>
  </x:sheetPr>
  <x:sheetViews>
    <x:sheetView showGridLines="0" workbookViewId="0" tabSelected="0">
      <x:pane xSplit="4" ySplit="12" topLeftCell="E13" activePane="bottomRight" state="frozen"/>
    </x:sheetView>
  </x:sheetViews>
  <x:sheetFormatPr defaultRowHeight="15"/>
  <x:cols>
    <x:col min="1" max="1" width="2.25" hidden="0" customWidth="1"/>
    <x:col min="2" max="2" width="9" hidden="0" customWidth="1"/>
    <x:col min="3" max="3" width="6" hidden="0" customWidth="1"/>
    <x:col min="4" max="4" width="28.1299991607666" hidden="0" customWidth="1"/>
    <x:col min="23" max="23" width="6" hidden="0" customWidth="1"/>
    <x:col min="24" max="24" width="8" hidden="0" customWidth="1"/>
    <x:col min="25" max="25" width="8" hidden="0" customWidth="1"/>
    <x:col min="26" max="26" width="8" hidden="0" customWidth="1"/>
    <x:col min="27" max="27" width="9.75" hidden="0" customWidth="1"/>
    <x:col min="28" max="28" width="8" hidden="0" customWidth="1"/>
    <x:col min="29" max="29" width="8" hidden="0" customWidth="1"/>
    <x:col min="30" max="30" width="8" hidden="0" customWidth="1"/>
    <x:col min="31" max="31" width="9.75" hidden="0" customWidth="1"/>
    <x:col min="5" max="5" width="5.380000114440918" hidden="0" customWidth="1"/>
    <x:col min="6" max="6" width="5.380000114440918" hidden="0" customWidth="1"/>
    <x:col min="7" max="7" width="6" hidden="0" customWidth="1"/>
    <x:col min="8" max="8" width="5.380000114440918" hidden="0" customWidth="1"/>
    <x:col min="9" max="9" width="5.380000114440918" hidden="0" customWidth="1"/>
    <x:col min="10" max="10" width="6" hidden="0" customWidth="1"/>
    <x:col min="11" max="11" width="5.380000114440918" hidden="0" customWidth="1"/>
    <x:col min="12" max="12" width="5.380000114440918" hidden="0" customWidth="1"/>
    <x:col min="13" max="13" width="6" hidden="0" customWidth="1"/>
    <x:col min="14" max="14" width="5.380000114440918" hidden="0" customWidth="1"/>
    <x:col min="15" max="15" width="5.380000114440918" hidden="0" customWidth="1"/>
    <x:col min="16" max="16" width="6" hidden="0" customWidth="1"/>
    <x:col min="17" max="17" width="5.380000114440918" hidden="0" customWidth="1"/>
    <x:col min="18" max="18" width="5.380000114440918" hidden="0" customWidth="1"/>
    <x:col min="19" max="19" width="6" hidden="0" customWidth="1"/>
    <x:col min="20" max="20" width="5.380000114440918" hidden="0" customWidth="1"/>
    <x:col min="21" max="21" width="5.380000114440918" hidden="0" customWidth="1"/>
    <x:col min="22" max="22" width="6" hidden="0" customWidth="1"/>
  </x:cols>
  <x:sheetData>
    <x:row r="1" ht="12" customHeight="1">
      <x:c r="A1" s="78"/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  <x:c r="AA1" s="78"/>
      <x:c r="AB1" s="78"/>
      <x:c r="AC1" s="78"/>
      <x:c r="AD1" s="78"/>
      <x:c r="AE1" s="78"/>
    </x:row>
    <x:row r="2" ht="34" customHeight="1">
      <x:c r="A2" s="78"/>
      <x:c r="B2" s="4" t="str">
        <x:v>2027학년도 사회·과학 주간수업 배당표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</x:row>
    <x:row r="3" ht="24" customHeight="1">
      <x:c r="A3" s="78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/>
      <x:c r="AB3" s="79"/>
      <x:c r="AC3" s="79"/>
      <x:c r="AD3" s="79"/>
      <x:c r="AE3" s="79"/>
    </x:row>
    <x:row r="4" ht="24" customHeight="1">
      <x:c r="A4" s="78"/>
      <x:c r="B4" s="80" t="str">
        <x:v>각 교과의 자체 과목과 배정받는 통합·실험·융합과목을 표시했습니다. 반 수 0은 해당 교과에 배정 또는 개설이 없는 경우입니다.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  <x:c r="AA4" s="78"/>
      <x:c r="AB4" s="78"/>
      <x:c r="AC4" s="78"/>
      <x:c r="AD4" s="78"/>
      <x:c r="AE4" s="78"/>
    </x:row>
    <x:row r="5" ht="24" customHeight="1">
      <x:c r="A5" s="78"/>
      <x:c r="B5" s="80" t="str">
        <x:v>빈칸은 해당 학년·학기에 편성하지 않은 과목입니다. 단위는 주당 시수이며 창체·교양은 제외했습니다.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</x:row>
    <x:row r="6" ht="24" customHeight="1">
      <x:c r="A6" s="78"/>
      <x:c r="B6" s="80" t="str">
        <x:v>2026.9.28. 최종 선택자료 반영. 교사 수는 2026학년도 정원 참고값입니다.</x:v>
      </x:c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</x:row>
    <x:row r="7" ht="24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  <x:c r="AA7" s="78"/>
      <x:c r="AB7" s="78"/>
      <x:c r="AC7" s="78"/>
      <x:c r="AD7" s="78"/>
      <x:c r="AE7" s="78"/>
    </x:row>
    <x:row r="8" ht="28" customHeight="1">
      <x:c r="A8" s="78"/>
      <x:c r="B8" s="82" t="str">
        <x:v>2027학년도 기존안 · 변경안도 동일</x:v>
      </x:c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</x:row>
    <x:row r="9" ht="26" customHeight="1">
      <x:c r="A9" s="78"/>
      <x:c r="B9" s="98" t="str">
        <x:v>담당 교과와 개설 과목</x:v>
      </x:c>
      <x:c r="C9" s="98"/>
      <x:c r="D9" s="98"/>
      <x:c r="E9" s="98" t="str">
        <x:v>1학년 (2027 입학생)</x:v>
      </x:c>
      <x:c r="F9" s="98"/>
      <x:c r="G9" s="98"/>
      <x:c r="H9" s="98"/>
      <x:c r="I9" s="98"/>
      <x:c r="J9" s="98"/>
      <x:c r="K9" s="98" t="str">
        <x:v>2학년 (2026 입학생)</x:v>
      </x:c>
      <x:c r="L9" s="98"/>
      <x:c r="M9" s="98"/>
      <x:c r="N9" s="98"/>
      <x:c r="O9" s="98"/>
      <x:c r="P9" s="98"/>
      <x:c r="Q9" s="98" t="str">
        <x:v>3학년 (2025 입학생)</x:v>
      </x:c>
      <x:c r="R9" s="98"/>
      <x:c r="S9" s="98"/>
      <x:c r="T9" s="98"/>
      <x:c r="U9" s="98"/>
      <x:c r="V9" s="98"/>
      <x:c r="W9" s="98" t="str">
        <x:v>교사
수</x:v>
      </x:c>
      <x:c r="X9" s="98" t="str">
        <x:v>1학기 교과별 시수와 평균</x:v>
      </x:c>
      <x:c r="Y9" s="98"/>
      <x:c r="Z9" s="98"/>
      <x:c r="AA9" s="98"/>
      <x:c r="AB9" s="98" t="str">
        <x:v>2학기 교과별 시수와 평균</x:v>
      </x:c>
      <x:c r="AC9" s="98"/>
      <x:c r="AD9" s="98"/>
      <x:c r="AE9" s="98"/>
    </x:row>
    <x:row r="10" ht="26" customHeight="1">
      <x:c r="A10" s="78"/>
      <x:c r="B10" s="98"/>
      <x:c r="C10" s="98"/>
      <x:c r="D10" s="98"/>
      <x:c r="E10" s="99" t="n">
        <x:v>12</x:v>
      </x:c>
      <x:c r="F10" s="98"/>
      <x:c r="G10" s="98"/>
      <x:c r="H10" s="98"/>
      <x:c r="I10" s="98"/>
      <x:c r="J10" s="98"/>
      <x:c r="K10" s="99" t="n">
        <x:v>13</x:v>
      </x:c>
      <x:c r="L10" s="98"/>
      <x:c r="M10" s="98"/>
      <x:c r="N10" s="98"/>
      <x:c r="O10" s="98"/>
      <x:c r="P10" s="98"/>
      <x:c r="Q10" s="99" t="n">
        <x:v>13</x:v>
      </x:c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8"/>
      <x:c r="AE10" s="98"/>
    </x:row>
    <x:row r="11" ht="26" customHeight="1">
      <x:c r="A11" s="78"/>
      <x:c r="B11" s="98" t="str">
        <x:v>담당
교과</x:v>
      </x:c>
      <x:c r="C11" s="98" t="str">
        <x:v>구분</x:v>
      </x:c>
      <x:c r="D11" s="98" t="str">
        <x:v>과목명</x:v>
      </x:c>
      <x:c r="E11" s="98" t="str">
        <x:v>1학기</x:v>
      </x:c>
      <x:c r="F11" s="98"/>
      <x:c r="G11" s="98"/>
      <x:c r="H11" s="98" t="str">
        <x:v>2학기</x:v>
      </x:c>
      <x:c r="I11" s="98"/>
      <x:c r="J11" s="98"/>
      <x:c r="K11" s="98" t="str">
        <x:v>1학기</x:v>
      </x:c>
      <x:c r="L11" s="98"/>
      <x:c r="M11" s="98"/>
      <x:c r="N11" s="98" t="str">
        <x:v>2학기</x:v>
      </x:c>
      <x:c r="O11" s="98"/>
      <x:c r="P11" s="98"/>
      <x:c r="Q11" s="98" t="str">
        <x:v>1학기</x:v>
      </x:c>
      <x:c r="R11" s="98"/>
      <x:c r="S11" s="98"/>
      <x:c r="T11" s="98" t="str">
        <x:v>2학기</x:v>
      </x:c>
      <x:c r="U11" s="98"/>
      <x:c r="V11" s="98"/>
      <x:c r="W11" s="98"/>
      <x:c r="X11" s="98" t="str">
        <x:v>자체
시수</x:v>
      </x:c>
      <x:c r="Y11" s="98" t="str">
        <x:v>배정
시수</x:v>
      </x:c>
      <x:c r="Z11" s="98" t="str">
        <x:v>총시수</x:v>
      </x:c>
      <x:c r="AA11" s="98" t="str">
        <x:v>교사 1인
평균</x:v>
      </x:c>
      <x:c r="AB11" s="98" t="str">
        <x:v>자체
시수</x:v>
      </x:c>
      <x:c r="AC11" s="98" t="str">
        <x:v>배정
시수</x:v>
      </x:c>
      <x:c r="AD11" s="98" t="str">
        <x:v>총시수</x:v>
      </x:c>
      <x:c r="AE11" s="98" t="str">
        <x:v>교사 1인
평균</x:v>
      </x:c>
    </x:row>
    <x:row r="12" ht="26" customHeight="1">
      <x:c r="A12" s="78"/>
      <x:c r="B12" s="98"/>
      <x:c r="C12" s="98"/>
      <x:c r="D12" s="98"/>
      <x:c r="E12" s="98" t="str">
        <x:v>반당
시수</x:v>
      </x:c>
      <x:c r="F12" s="98" t="str">
        <x:v>개설
반 수</x:v>
      </x:c>
      <x:c r="G12" s="98" t="str">
        <x:v>교과
시수</x:v>
      </x:c>
      <x:c r="H12" s="98" t="str">
        <x:v>반당
시수</x:v>
      </x:c>
      <x:c r="I12" s="98" t="str">
        <x:v>개설
반 수</x:v>
      </x:c>
      <x:c r="J12" s="98" t="str">
        <x:v>교과
시수</x:v>
      </x:c>
      <x:c r="K12" s="98" t="str">
        <x:v>반당
시수</x:v>
      </x:c>
      <x:c r="L12" s="98" t="str">
        <x:v>개설
반 수</x:v>
      </x:c>
      <x:c r="M12" s="98" t="str">
        <x:v>교과
시수</x:v>
      </x:c>
      <x:c r="N12" s="98" t="str">
        <x:v>반당
시수</x:v>
      </x:c>
      <x:c r="O12" s="98" t="str">
        <x:v>개설
반 수</x:v>
      </x:c>
      <x:c r="P12" s="98" t="str">
        <x:v>교과
시수</x:v>
      </x:c>
      <x:c r="Q12" s="98" t="str">
        <x:v>반당
시수</x:v>
      </x:c>
      <x:c r="R12" s="98" t="str">
        <x:v>개설
반 수</x:v>
      </x:c>
      <x:c r="S12" s="98" t="str">
        <x:v>교과
시수</x:v>
      </x:c>
      <x:c r="T12" s="98" t="str">
        <x:v>반당
시수</x:v>
      </x:c>
      <x:c r="U12" s="98" t="str">
        <x:v>개설
반 수</x:v>
      </x:c>
      <x:c r="V12" s="98" t="str">
        <x:v>교과
시수</x:v>
      </x:c>
      <x:c r="W12" s="98"/>
      <x:c r="X12" s="98"/>
      <x:c r="Y12" s="98"/>
      <x:c r="Z12" s="98"/>
      <x:c r="AA12" s="98"/>
      <x:c r="AB12" s="98"/>
      <x:c r="AC12" s="98"/>
      <x:c r="AD12" s="98"/>
      <x:c r="AE12" s="98"/>
    </x:row>
    <x:row r="13" ht="30" customHeight="1">
      <x:c r="A13" s="78"/>
      <x:c r="B13" s="141" t="str">
        <x:v>역사 합계</x:v>
      </x:c>
      <x:c r="C13" s="141"/>
      <x:c r="D13" s="141"/>
      <x:c r="E13" s="141"/>
      <x:c r="F13" s="141"/>
      <x:c r="G13" s="141" t="n">
        <x:f>SUM(G14,G18)</x:f>
        <x:v>36</x:v>
      </x:c>
      <x:c r="H13" s="141"/>
      <x:c r="I13" s="141"/>
      <x:c r="J13" s="141" t="n">
        <x:f>SUM(J16,J25)</x:f>
        <x:v>48</x:v>
      </x:c>
      <x:c r="K13" s="141"/>
      <x:c r="L13" s="141"/>
      <x:c r="M13" s="141" t="n">
        <x:f>SUM(M15)</x:f>
        <x:v>12</x:v>
      </x:c>
      <x:c r="N13" s="141"/>
      <x:c r="O13" s="141"/>
      <x:c r="P13" s="141" t="n">
        <x:f>SUM(P17)</x:f>
        <x:v>6</x:v>
      </x:c>
      <x:c r="Q13" s="141"/>
      <x:c r="R13" s="141"/>
      <x:c r="S13" s="141" t="n">
        <x:f>SUM(S19,S20,S21,S22,S23,S24)</x:f>
        <x:v>12</x:v>
      </x:c>
      <x:c r="T13" s="141"/>
      <x:c r="U13" s="141"/>
      <x:c r="V13" s="141" t="n">
        <x:f>SUM(V19,V21,V22)</x:f>
        <x:v>0</x:v>
      </x:c>
      <x:c r="W13" s="141" t="n">
        <x:f>IF(ISNUMBER('산정근거'!C12),'산정근거'!C12,"미정")</x:f>
        <x:v>3</x:v>
      </x:c>
      <x:c r="X13" s="143" t="n">
        <x:f>SUM(G14,M15)</x:f>
        <x:v>48</x:v>
      </x:c>
      <x:c r="Y13" s="143" t="n">
        <x:f>SUM(G18,S19,S20,S21,S22,S23,S24)</x:f>
        <x:v>12</x:v>
      </x:c>
      <x:c r="Z13" s="143" t="n">
        <x:f>X13+Y13</x:f>
        <x:v>60</x:v>
      </x:c>
      <x:c r="AA13" s="144" t="n">
        <x:f>IF(OR(NOT(ISNUMBER(W13)),W13&lt;=0),"미정",Z13/W13)</x:f>
        <x:v>20</x:v>
      </x:c>
      <x:c r="AB13" s="143" t="n">
        <x:f>SUM(J16,P17)</x:f>
        <x:v>42</x:v>
      </x:c>
      <x:c r="AC13" s="143" t="n">
        <x:f>SUM(V19,V21,V22,J25)</x:f>
        <x:v>12</x:v>
      </x:c>
      <x:c r="AD13" s="143" t="n">
        <x:f>AB13+AC13</x:f>
        <x:v>54</x:v>
      </x:c>
      <x:c r="AE13" s="144" t="n">
        <x:f>IF(OR(NOT(ISNUMBER(W13)),W13&lt;=0),"미정",AD13/W13)</x:f>
        <x:v>18</x:v>
      </x:c>
    </x:row>
    <x:row r="14" ht="24" customHeight="1">
      <x:c r="A14" s="78"/>
      <x:c r="B14" s="103" t="str">
        <x:v>역사</x:v>
      </x:c>
      <x:c r="C14" s="104" t="str">
        <x:v>자체</x:v>
      </x:c>
      <x:c r="D14" s="81" t="str">
        <x:v>한국사1</x:v>
      </x:c>
      <x:c r="E14" s="124" t="n">
        <x:f>'기존안 과목내역'!I8</x:f>
        <x:v>3</x:v>
      </x:c>
      <x:c r="F14" s="125" t="n">
        <x:f>'기존안 과목내역'!J8</x:f>
        <x:v>12</x:v>
      </x:c>
      <x:c r="G14" s="133" t="n">
        <x:f>E14*F14</x:f>
        <x:v>36</x:v>
      </x:c>
      <x:c r="H14" s="125"/>
      <x:c r="I14" s="125"/>
      <x:c r="J14" s="133"/>
      <x:c r="K14" s="125"/>
      <x:c r="L14" s="125"/>
      <x:c r="M14" s="133"/>
      <x:c r="N14" s="125"/>
      <x:c r="O14" s="125"/>
      <x:c r="P14" s="133"/>
      <x:c r="Q14" s="125"/>
      <x:c r="R14" s="125"/>
      <x:c r="S14" s="133"/>
      <x:c r="T14" s="125"/>
      <x:c r="U14" s="125"/>
      <x:c r="V14" s="136"/>
      <x:c r="W14" s="78"/>
      <x:c r="X14" s="78"/>
      <x:c r="Y14" s="78"/>
      <x:c r="Z14" s="78"/>
      <x:c r="AA14" s="78"/>
      <x:c r="AB14" s="78"/>
      <x:c r="AC14" s="78"/>
      <x:c r="AD14" s="78"/>
      <x:c r="AE14" s="78"/>
    </x:row>
    <x:row r="15" ht="24" customHeight="1">
      <x:c r="A15" s="78"/>
      <x:c r="B15" s="103"/>
      <x:c r="C15" s="104" t="str">
        <x:v>자체</x:v>
      </x:c>
      <x:c r="D15" s="81" t="str">
        <x:v>세계사</x:v>
      </x:c>
      <x:c r="E15" s="127"/>
      <x:c r="F15" s="128"/>
      <x:c r="G15" s="134"/>
      <x:c r="H15" s="128"/>
      <x:c r="I15" s="128"/>
      <x:c r="J15" s="134"/>
      <x:c r="K15" s="128" t="n">
        <x:f>'기존안 과목내역'!I13</x:f>
        <x:v>3</x:v>
      </x:c>
      <x:c r="L15" s="128" t="n">
        <x:f>'기존안 과목내역'!J13</x:f>
        <x:v>4</x:v>
      </x:c>
      <x:c r="M15" s="134" t="n">
        <x:f>K15*L15</x:f>
        <x:v>12</x:v>
      </x:c>
      <x:c r="N15" s="128"/>
      <x:c r="O15" s="128"/>
      <x:c r="P15" s="134"/>
      <x:c r="Q15" s="128"/>
      <x:c r="R15" s="128"/>
      <x:c r="S15" s="134"/>
      <x:c r="T15" s="128"/>
      <x:c r="U15" s="128"/>
      <x:c r="V15" s="137"/>
      <x:c r="W15" s="78"/>
      <x:c r="X15" s="78"/>
      <x:c r="Y15" s="78"/>
      <x:c r="Z15" s="78"/>
      <x:c r="AA15" s="78"/>
      <x:c r="AB15" s="78"/>
      <x:c r="AC15" s="78"/>
      <x:c r="AD15" s="78"/>
      <x:c r="AE15" s="78"/>
    </x:row>
    <x:row r="16" ht="24" customHeight="1">
      <x:c r="A16" s="78"/>
      <x:c r="B16" s="103"/>
      <x:c r="C16" s="104" t="str">
        <x:v>자체</x:v>
      </x:c>
      <x:c r="D16" s="81" t="str">
        <x:v>한국사2</x:v>
      </x:c>
      <x:c r="E16" s="127"/>
      <x:c r="F16" s="128"/>
      <x:c r="G16" s="134"/>
      <x:c r="H16" s="128" t="n">
        <x:f>'기존안 과목내역'!I38</x:f>
        <x:v>3</x:v>
      </x:c>
      <x:c r="I16" s="128" t="n">
        <x:f>'기존안 과목내역'!J38</x:f>
        <x:v>12</x:v>
      </x:c>
      <x:c r="J16" s="134" t="n">
        <x:f>H16*I16</x:f>
        <x:v>36</x:v>
      </x:c>
      <x:c r="K16" s="128"/>
      <x:c r="L16" s="128"/>
      <x:c r="M16" s="134"/>
      <x:c r="N16" s="128"/>
      <x:c r="O16" s="128"/>
      <x:c r="P16" s="134"/>
      <x:c r="Q16" s="128"/>
      <x:c r="R16" s="128"/>
      <x:c r="S16" s="134"/>
      <x:c r="T16" s="128"/>
      <x:c r="U16" s="128"/>
      <x:c r="V16" s="137"/>
      <x:c r="W16" s="78"/>
      <x:c r="X16" s="78"/>
      <x:c r="Y16" s="78"/>
      <x:c r="Z16" s="78"/>
      <x:c r="AA16" s="78"/>
      <x:c r="AB16" s="78"/>
      <x:c r="AC16" s="78"/>
      <x:c r="AD16" s="78"/>
      <x:c r="AE16" s="78"/>
    </x:row>
    <x:row r="17" ht="24" customHeight="1">
      <x:c r="A17" s="78"/>
      <x:c r="B17" s="103"/>
      <x:c r="C17" s="104" t="str">
        <x:v>자체</x:v>
      </x:c>
      <x:c r="D17" s="81" t="str">
        <x:v>동아시아 역사 기행</x:v>
      </x:c>
      <x:c r="E17" s="127"/>
      <x:c r="F17" s="128"/>
      <x:c r="G17" s="134"/>
      <x:c r="H17" s="128"/>
      <x:c r="I17" s="128"/>
      <x:c r="J17" s="134"/>
      <x:c r="K17" s="128"/>
      <x:c r="L17" s="128"/>
      <x:c r="M17" s="134"/>
      <x:c r="N17" s="128" t="n">
        <x:f>'기존안 과목내역'!I42</x:f>
        <x:v>3</x:v>
      </x:c>
      <x:c r="O17" s="128" t="n">
        <x:f>'기존안 과목내역'!J42</x:f>
        <x:v>2</x:v>
      </x:c>
      <x:c r="P17" s="134" t="n">
        <x:f>N17*O17</x:f>
        <x:v>6</x:v>
      </x:c>
      <x:c r="Q17" s="128"/>
      <x:c r="R17" s="128"/>
      <x:c r="S17" s="134"/>
      <x:c r="T17" s="128"/>
      <x:c r="U17" s="128"/>
      <x:c r="V17" s="137"/>
      <x:c r="W17" s="78"/>
      <x:c r="X17" s="78"/>
      <x:c r="Y17" s="78"/>
      <x:c r="Z17" s="78"/>
      <x:c r="AA17" s="78"/>
      <x:c r="AB17" s="78"/>
      <x:c r="AC17" s="78"/>
      <x:c r="AD17" s="78"/>
      <x:c r="AE17" s="78"/>
    </x:row>
    <x:row r="18" ht="24" customHeight="1">
      <x:c r="A18" s="78"/>
      <x:c r="B18" s="103"/>
      <x:c r="C18" s="105" t="str">
        <x:v>통합</x:v>
      </x:c>
      <x:c r="D18" s="101" t="str">
        <x:v>통합사회1</x:v>
      </x:c>
      <x:c r="E18" s="127" t="n">
        <x:f>'기존안 과목내역'!I9</x:f>
        <x:v>4</x:v>
      </x:c>
      <x:c r="F18" s="128" t="n">
        <x:f>'공통융합 배정'!I10</x:f>
        <x:v>0</x:v>
      </x:c>
      <x:c r="G18" s="134" t="n">
        <x:f>'공통융합 배정'!J10</x:f>
        <x:v>0</x:v>
      </x:c>
      <x:c r="H18" s="128"/>
      <x:c r="I18" s="128"/>
      <x:c r="J18" s="134"/>
      <x:c r="K18" s="128"/>
      <x:c r="L18" s="128"/>
      <x:c r="M18" s="134"/>
      <x:c r="N18" s="128"/>
      <x:c r="O18" s="128"/>
      <x:c r="P18" s="134"/>
      <x:c r="Q18" s="128"/>
      <x:c r="R18" s="128"/>
      <x:c r="S18" s="134"/>
      <x:c r="T18" s="128"/>
      <x:c r="U18" s="128"/>
      <x:c r="V18" s="137"/>
      <x:c r="W18" s="78"/>
      <x:c r="X18" s="78"/>
      <x:c r="Y18" s="78"/>
      <x:c r="Z18" s="78"/>
      <x:c r="AA18" s="78"/>
      <x:c r="AB18" s="78"/>
      <x:c r="AC18" s="78"/>
      <x:c r="AD18" s="78"/>
      <x:c r="AE18" s="78"/>
    </x:row>
    <x:row r="19" ht="24" customHeight="1">
      <x:c r="A19" s="78"/>
      <x:c r="B19" s="103"/>
      <x:c r="C19" s="105" t="str">
        <x:v>융합</x:v>
      </x:c>
      <x:c r="D19" s="101" t="str">
        <x:v>금융과 경제생활</x:v>
      </x:c>
      <x:c r="E19" s="127"/>
      <x:c r="F19" s="128"/>
      <x:c r="G19" s="134"/>
      <x:c r="H19" s="128"/>
      <x:c r="I19" s="128"/>
      <x:c r="J19" s="134"/>
      <x:c r="K19" s="128"/>
      <x:c r="L19" s="128"/>
      <x:c r="M19" s="134"/>
      <x:c r="N19" s="128"/>
      <x:c r="O19" s="128"/>
      <x:c r="P19" s="134"/>
      <x:c r="Q19" s="128" t="n">
        <x:f>'기존안 과목내역'!I24</x:f>
        <x:v>3</x:v>
      </x:c>
      <x:c r="R19" s="128" t="n">
        <x:f>'공통융합 배정'!I11</x:f>
        <x:v>0</x:v>
      </x:c>
      <x:c r="S19" s="134" t="n">
        <x:f>'공통융합 배정'!J11</x:f>
        <x:v>0</x:v>
      </x:c>
      <x:c r="T19" s="128" t="n">
        <x:f>'기존안 과목내역'!I52</x:f>
        <x:v>3</x:v>
      </x:c>
      <x:c r="U19" s="128" t="n">
        <x:f>'공통융합 배정'!I18</x:f>
        <x:v>0</x:v>
      </x:c>
      <x:c r="V19" s="137" t="n">
        <x:f>'공통융합 배정'!J18</x:f>
        <x:v>0</x:v>
      </x:c>
      <x:c r="W19" s="78"/>
      <x:c r="X19" s="78"/>
      <x:c r="Y19" s="78"/>
      <x:c r="Z19" s="78"/>
      <x:c r="AA19" s="78"/>
      <x:c r="AB19" s="78"/>
      <x:c r="AC19" s="78"/>
      <x:c r="AD19" s="78"/>
      <x:c r="AE19" s="78"/>
    </x:row>
    <x:row r="20" ht="24" customHeight="1">
      <x:c r="A20" s="78"/>
      <x:c r="B20" s="103"/>
      <x:c r="C20" s="105" t="str">
        <x:v>융합</x:v>
      </x:c>
      <x:c r="D20" s="101" t="str">
        <x:v>기후변화와 지속가능한 세계</x:v>
      </x:c>
      <x:c r="E20" s="127"/>
      <x:c r="F20" s="128"/>
      <x:c r="G20" s="134"/>
      <x:c r="H20" s="128"/>
      <x:c r="I20" s="128"/>
      <x:c r="J20" s="134"/>
      <x:c r="K20" s="128"/>
      <x:c r="L20" s="128"/>
      <x:c r="M20" s="134"/>
      <x:c r="N20" s="128"/>
      <x:c r="O20" s="128"/>
      <x:c r="P20" s="134"/>
      <x:c r="Q20" s="128" t="n">
        <x:f>'기존안 과목내역'!I25</x:f>
        <x:v>3</x:v>
      </x:c>
      <x:c r="R20" s="128" t="n">
        <x:f>'공통융합 배정'!I12</x:f>
        <x:v>0</x:v>
      </x:c>
      <x:c r="S20" s="134" t="n">
        <x:f>'공통융합 배정'!J12</x:f>
        <x:v>0</x:v>
      </x:c>
      <x:c r="T20" s="128"/>
      <x:c r="U20" s="128"/>
      <x:c r="V20" s="137"/>
      <x:c r="W20" s="78"/>
      <x:c r="X20" s="78"/>
      <x:c r="Y20" s="78"/>
      <x:c r="Z20" s="78"/>
      <x:c r="AA20" s="78"/>
      <x:c r="AB20" s="78"/>
      <x:c r="AC20" s="78"/>
      <x:c r="AD20" s="78"/>
      <x:c r="AE20" s="78"/>
    </x:row>
    <x:row r="21" ht="24" customHeight="1">
      <x:c r="A21" s="78"/>
      <x:c r="B21" s="103"/>
      <x:c r="C21" s="105" t="str">
        <x:v>융합</x:v>
      </x:c>
      <x:c r="D21" s="101" t="str">
        <x:v>사회문제 탐구</x:v>
      </x:c>
      <x:c r="E21" s="127"/>
      <x:c r="F21" s="128"/>
      <x:c r="G21" s="134"/>
      <x:c r="H21" s="128"/>
      <x:c r="I21" s="128"/>
      <x:c r="J21" s="134"/>
      <x:c r="K21" s="128"/>
      <x:c r="L21" s="128"/>
      <x:c r="M21" s="134"/>
      <x:c r="N21" s="128"/>
      <x:c r="O21" s="128"/>
      <x:c r="P21" s="134"/>
      <x:c r="Q21" s="128" t="n">
        <x:f>'기존안 과목내역'!I26</x:f>
        <x:v>3</x:v>
      </x:c>
      <x:c r="R21" s="128" t="n">
        <x:f>'공통융합 배정'!I13</x:f>
        <x:v>0</x:v>
      </x:c>
      <x:c r="S21" s="134" t="n">
        <x:f>'공통융합 배정'!J13</x:f>
        <x:v>0</x:v>
      </x:c>
      <x:c r="T21" s="128" t="n">
        <x:f>'기존안 과목내역'!I53</x:f>
        <x:v>3</x:v>
      </x:c>
      <x:c r="U21" s="128" t="n">
        <x:f>'공통융합 배정'!I19</x:f>
        <x:v>0</x:v>
      </x:c>
      <x:c r="V21" s="137" t="n">
        <x:f>'공통융합 배정'!J19</x:f>
        <x:v>0</x:v>
      </x:c>
      <x:c r="W21" s="78"/>
      <x:c r="X21" s="78"/>
      <x:c r="Y21" s="78"/>
      <x:c r="Z21" s="78"/>
      <x:c r="AA21" s="78"/>
      <x:c r="AB21" s="78"/>
      <x:c r="AC21" s="78"/>
      <x:c r="AD21" s="78"/>
      <x:c r="AE21" s="78"/>
    </x:row>
    <x:row r="22" ht="24" customHeight="1">
      <x:c r="A22" s="78"/>
      <x:c r="B22" s="103"/>
      <x:c r="C22" s="105" t="str">
        <x:v>융합</x:v>
      </x:c>
      <x:c r="D22" s="101" t="str">
        <x:v>여행지리</x:v>
      </x:c>
      <x:c r="E22" s="127"/>
      <x:c r="F22" s="128"/>
      <x:c r="G22" s="134"/>
      <x:c r="H22" s="128"/>
      <x:c r="I22" s="128"/>
      <x:c r="J22" s="134"/>
      <x:c r="K22" s="128"/>
      <x:c r="L22" s="128"/>
      <x:c r="M22" s="134"/>
      <x:c r="N22" s="128"/>
      <x:c r="O22" s="128"/>
      <x:c r="P22" s="134"/>
      <x:c r="Q22" s="128" t="n">
        <x:f>'기존안 과목내역'!I27</x:f>
        <x:v>3</x:v>
      </x:c>
      <x:c r="R22" s="128" t="n">
        <x:f>'공통융합 배정'!I14</x:f>
        <x:v>0</x:v>
      </x:c>
      <x:c r="S22" s="134" t="n">
        <x:f>'공통융합 배정'!J14</x:f>
        <x:v>0</x:v>
      </x:c>
      <x:c r="T22" s="128" t="n">
        <x:f>'기존안 과목내역'!I54</x:f>
        <x:v>3</x:v>
      </x:c>
      <x:c r="U22" s="128" t="n">
        <x:f>'공통융합 배정'!I20</x:f>
        <x:v>0</x:v>
      </x:c>
      <x:c r="V22" s="137" t="n">
        <x:f>'공통융합 배정'!J20</x:f>
        <x:v>0</x:v>
      </x:c>
      <x:c r="W22" s="78"/>
      <x:c r="X22" s="78"/>
      <x:c r="Y22" s="78"/>
      <x:c r="Z22" s="78"/>
      <x:c r="AA22" s="78"/>
      <x:c r="AB22" s="78"/>
      <x:c r="AC22" s="78"/>
      <x:c r="AD22" s="78"/>
      <x:c r="AE22" s="78"/>
    </x:row>
    <x:row r="23" ht="24" customHeight="1">
      <x:c r="A23" s="78"/>
      <x:c r="B23" s="103"/>
      <x:c r="C23" s="105" t="str">
        <x:v>융합</x:v>
      </x:c>
      <x:c r="D23" s="101" t="str">
        <x:v>역사로 탐구하는 현대 세계</x:v>
      </x:c>
      <x:c r="E23" s="127"/>
      <x:c r="F23" s="128"/>
      <x:c r="G23" s="134"/>
      <x:c r="H23" s="128"/>
      <x:c r="I23" s="128"/>
      <x:c r="J23" s="134"/>
      <x:c r="K23" s="128"/>
      <x:c r="L23" s="128"/>
      <x:c r="M23" s="134"/>
      <x:c r="N23" s="128"/>
      <x:c r="O23" s="128"/>
      <x:c r="P23" s="134"/>
      <x:c r="Q23" s="128" t="n">
        <x:f>'기존안 과목내역'!I28</x:f>
        <x:v>3</x:v>
      </x:c>
      <x:c r="R23" s="128" t="n">
        <x:f>'공통융합 배정'!I15</x:f>
        <x:v>4</x:v>
      </x:c>
      <x:c r="S23" s="134" t="n">
        <x:f>'공통융합 배정'!J15</x:f>
        <x:v>12</x:v>
      </x:c>
      <x:c r="T23" s="128"/>
      <x:c r="U23" s="128"/>
      <x:c r="V23" s="137"/>
      <x:c r="W23" s="78"/>
      <x:c r="X23" s="78"/>
      <x:c r="Y23" s="78"/>
      <x:c r="Z23" s="78"/>
      <x:c r="AA23" s="78"/>
      <x:c r="AB23" s="78"/>
      <x:c r="AC23" s="78"/>
      <x:c r="AD23" s="78"/>
      <x:c r="AE23" s="78"/>
    </x:row>
    <x:row r="24" ht="24" customHeight="1">
      <x:c r="A24" s="78"/>
      <x:c r="B24" s="103"/>
      <x:c r="C24" s="105" t="str">
        <x:v>융합</x:v>
      </x:c>
      <x:c r="D24" s="101" t="str">
        <x:v>윤리문제 탐구</x:v>
      </x:c>
      <x:c r="E24" s="127"/>
      <x:c r="F24" s="128"/>
      <x:c r="G24" s="134"/>
      <x:c r="H24" s="128"/>
      <x:c r="I24" s="128"/>
      <x:c r="J24" s="134"/>
      <x:c r="K24" s="128"/>
      <x:c r="L24" s="128"/>
      <x:c r="M24" s="134"/>
      <x:c r="N24" s="128"/>
      <x:c r="O24" s="128"/>
      <x:c r="P24" s="134"/>
      <x:c r="Q24" s="128" t="n">
        <x:f>'기존안 과목내역'!I29</x:f>
        <x:v>3</x:v>
      </x:c>
      <x:c r="R24" s="128" t="n">
        <x:f>'공통융합 배정'!I16</x:f>
        <x:v>0</x:v>
      </x:c>
      <x:c r="S24" s="134" t="n">
        <x:f>'공통융합 배정'!J16</x:f>
        <x:v>0</x:v>
      </x:c>
      <x:c r="T24" s="128"/>
      <x:c r="U24" s="128"/>
      <x:c r="V24" s="137"/>
      <x:c r="W24" s="78"/>
      <x:c r="X24" s="78"/>
      <x:c r="Y24" s="78"/>
      <x:c r="Z24" s="78"/>
      <x:c r="AA24" s="78"/>
      <x:c r="AB24" s="78"/>
      <x:c r="AC24" s="78"/>
      <x:c r="AD24" s="78"/>
      <x:c r="AE24" s="78"/>
    </x:row>
    <x:row r="25" ht="24" customHeight="1">
      <x:c r="A25" s="78"/>
      <x:c r="B25" s="103"/>
      <x:c r="C25" s="105" t="str">
        <x:v>통합</x:v>
      </x:c>
      <x:c r="D25" s="101" t="str">
        <x:v>통합사회2</x:v>
      </x:c>
      <x:c r="E25" s="130"/>
      <x:c r="F25" s="131"/>
      <x:c r="G25" s="135"/>
      <x:c r="H25" s="131" t="n">
        <x:f>'기존안 과목내역'!I39</x:f>
        <x:v>4</x:v>
      </x:c>
      <x:c r="I25" s="131" t="n">
        <x:f>'공통융합 배정'!I17</x:f>
        <x:v>3</x:v>
      </x:c>
      <x:c r="J25" s="135" t="n">
        <x:f>'공통융합 배정'!J17</x:f>
        <x:v>12</x:v>
      </x:c>
      <x:c r="K25" s="131"/>
      <x:c r="L25" s="131"/>
      <x:c r="M25" s="135"/>
      <x:c r="N25" s="131"/>
      <x:c r="O25" s="131"/>
      <x:c r="P25" s="135"/>
      <x:c r="Q25" s="131"/>
      <x:c r="R25" s="131"/>
      <x:c r="S25" s="135"/>
      <x:c r="T25" s="131"/>
      <x:c r="U25" s="131"/>
      <x:c r="V25" s="138"/>
      <x:c r="W25" s="78"/>
      <x:c r="X25" s="78"/>
      <x:c r="Y25" s="78"/>
      <x:c r="Z25" s="78"/>
      <x:c r="AA25" s="78"/>
      <x:c r="AB25" s="78"/>
      <x:c r="AC25" s="78"/>
      <x:c r="AD25" s="78"/>
      <x:c r="AE25" s="78"/>
    </x:row>
    <x:row r="26" ht="30" customHeight="1">
      <x:c r="A26" s="78"/>
      <x:c r="B26" s="141" t="str">
        <x:v>일반사회 합계</x:v>
      </x:c>
      <x:c r="C26" s="141"/>
      <x:c r="D26" s="141"/>
      <x:c r="E26" s="141"/>
      <x:c r="F26" s="141"/>
      <x:c r="G26" s="141" t="n">
        <x:f>SUM(G32)</x:f>
        <x:v>28</x:v>
      </x:c>
      <x:c r="H26" s="141"/>
      <x:c r="I26" s="141"/>
      <x:c r="J26" s="141" t="n">
        <x:f>SUM(J39)</x:f>
        <x:v>8</x:v>
      </x:c>
      <x:c r="K26" s="141"/>
      <x:c r="L26" s="141"/>
      <x:c r="M26" s="141" t="n">
        <x:f>SUM(M27)</x:f>
        <x:v>24</x:v>
      </x:c>
      <x:c r="N26" s="141"/>
      <x:c r="O26" s="141"/>
      <x:c r="P26" s="141" t="n">
        <x:f>SUM(P30,P31)</x:f>
        <x:v>27</x:v>
      </x:c>
      <x:c r="Q26" s="141"/>
      <x:c r="R26" s="141"/>
      <x:c r="S26" s="141" t="n">
        <x:f>SUM(S28,S29,S33,S34,S35,S36,S37,S38)</x:f>
        <x:v>24</x:v>
      </x:c>
      <x:c r="T26" s="141"/>
      <x:c r="U26" s="141"/>
      <x:c r="V26" s="141" t="n">
        <x:f>SUM(V33,V35,V36)</x:f>
        <x:v>39</x:v>
      </x:c>
      <x:c r="W26" s="141" t="n">
        <x:f>IF(ISNUMBER('산정근거'!C10),'산정근거'!C10,"미정")</x:f>
        <x:v>4</x:v>
      </x:c>
      <x:c r="X26" s="143" t="n">
        <x:f>SUM(M27,S28,S29)</x:f>
        <x:v>39</x:v>
      </x:c>
      <x:c r="Y26" s="143" t="n">
        <x:f>SUM(G32,S33,S34,S35,S36,S37,S38)</x:f>
        <x:v>37</x:v>
      </x:c>
      <x:c r="Z26" s="143" t="n">
        <x:f>X26+Y26</x:f>
        <x:v>76</x:v>
      </x:c>
      <x:c r="AA26" s="144" t="n">
        <x:f>IF(OR(NOT(ISNUMBER(W26)),W26&lt;=0),"미정",Z26/W26)</x:f>
        <x:v>19</x:v>
      </x:c>
      <x:c r="AB26" s="143" t="n">
        <x:f>SUM(P30,P31)</x:f>
        <x:v>27</x:v>
      </x:c>
      <x:c r="AC26" s="143" t="n">
        <x:f>SUM(V33,V35,V36,J39)</x:f>
        <x:v>47</x:v>
      </x:c>
      <x:c r="AD26" s="143" t="n">
        <x:f>AB26+AC26</x:f>
        <x:v>74</x:v>
      </x:c>
      <x:c r="AE26" s="144" t="n">
        <x:f>IF(OR(NOT(ISNUMBER(W26)),W26&lt;=0),"미정",AD26/W26)</x:f>
        <x:v>18.5</x:v>
      </x:c>
    </x:row>
    <x:row r="27" ht="24" customHeight="1">
      <x:c r="A27" s="78"/>
      <x:c r="B27" s="103" t="str">
        <x:v>일반사회</x:v>
      </x:c>
      <x:c r="C27" s="104" t="str">
        <x:v>자체</x:v>
      </x:c>
      <x:c r="D27" s="81" t="str">
        <x:v>사회와 문화</x:v>
      </x:c>
      <x:c r="E27" s="124"/>
      <x:c r="F27" s="125"/>
      <x:c r="G27" s="133"/>
      <x:c r="H27" s="125"/>
      <x:c r="I27" s="125"/>
      <x:c r="J27" s="133"/>
      <x:c r="K27" s="125" t="n">
        <x:f>'기존안 과목내역'!I12</x:f>
        <x:v>3</x:v>
      </x:c>
      <x:c r="L27" s="125" t="n">
        <x:f>'기존안 과목내역'!J12</x:f>
        <x:v>8</x:v>
      </x:c>
      <x:c r="M27" s="133" t="n">
        <x:f>K27*L27</x:f>
        <x:v>24</x:v>
      </x:c>
      <x:c r="N27" s="125"/>
      <x:c r="O27" s="125"/>
      <x:c r="P27" s="133"/>
      <x:c r="Q27" s="125"/>
      <x:c r="R27" s="125"/>
      <x:c r="S27" s="133"/>
      <x:c r="T27" s="125"/>
      <x:c r="U27" s="125"/>
      <x:c r="V27" s="136"/>
      <x:c r="W27" s="78"/>
      <x:c r="X27" s="78"/>
      <x:c r="Y27" s="78"/>
      <x:c r="Z27" s="78"/>
      <x:c r="AA27" s="78"/>
      <x:c r="AB27" s="78"/>
      <x:c r="AC27" s="78"/>
      <x:c r="AD27" s="78"/>
      <x:c r="AE27" s="78"/>
    </x:row>
    <x:row r="28" ht="24" customHeight="1">
      <x:c r="A28" s="78"/>
      <x:c r="B28" s="103"/>
      <x:c r="C28" s="104" t="str">
        <x:v>자체</x:v>
      </x:c>
      <x:c r="D28" s="81" t="str">
        <x:v>경제</x:v>
      </x:c>
      <x:c r="E28" s="127"/>
      <x:c r="F28" s="128"/>
      <x:c r="G28" s="134"/>
      <x:c r="H28" s="128"/>
      <x:c r="I28" s="128"/>
      <x:c r="J28" s="134"/>
      <x:c r="K28" s="128"/>
      <x:c r="L28" s="128"/>
      <x:c r="M28" s="134"/>
      <x:c r="N28" s="128"/>
      <x:c r="O28" s="128"/>
      <x:c r="P28" s="134"/>
      <x:c r="Q28" s="128" t="n">
        <x:f>'기존안 과목내역'!I19</x:f>
        <x:v>3</x:v>
      </x:c>
      <x:c r="R28" s="128" t="n">
        <x:f>'기존안 과목내역'!J19</x:f>
        <x:v>0</x:v>
      </x:c>
      <x:c r="S28" s="134" t="n">
        <x:f>Q28*R28</x:f>
        <x:v>0</x:v>
      </x:c>
      <x:c r="T28" s="128"/>
      <x:c r="U28" s="128"/>
      <x:c r="V28" s="137"/>
      <x:c r="W28" s="78"/>
      <x:c r="X28" s="78"/>
      <x:c r="Y28" s="78"/>
      <x:c r="Z28" s="78"/>
      <x:c r="AA28" s="78"/>
      <x:c r="AB28" s="78"/>
      <x:c r="AC28" s="78"/>
      <x:c r="AD28" s="78"/>
      <x:c r="AE28" s="78"/>
    </x:row>
    <x:row r="29" ht="24" customHeight="1">
      <x:c r="A29" s="78"/>
      <x:c r="B29" s="103"/>
      <x:c r="C29" s="104" t="str">
        <x:v>자체</x:v>
      </x:c>
      <x:c r="D29" s="81" t="str">
        <x:v>국제 관계의 이해</x:v>
      </x:c>
      <x:c r="E29" s="127"/>
      <x:c r="F29" s="128"/>
      <x:c r="G29" s="134"/>
      <x:c r="H29" s="128"/>
      <x:c r="I29" s="128"/>
      <x:c r="J29" s="134"/>
      <x:c r="K29" s="128"/>
      <x:c r="L29" s="128"/>
      <x:c r="M29" s="134"/>
      <x:c r="N29" s="128"/>
      <x:c r="O29" s="128"/>
      <x:c r="P29" s="134"/>
      <x:c r="Q29" s="128" t="n">
        <x:f>'기존안 과목내역'!I20</x:f>
        <x:v>3</x:v>
      </x:c>
      <x:c r="R29" s="128" t="n">
        <x:f>'기존안 과목내역'!J20</x:f>
        <x:v>5</x:v>
      </x:c>
      <x:c r="S29" s="134" t="n">
        <x:f>Q29*R29</x:f>
        <x:v>15</x:v>
      </x:c>
      <x:c r="T29" s="128"/>
      <x:c r="U29" s="128"/>
      <x:c r="V29" s="137"/>
      <x:c r="W29" s="78"/>
      <x:c r="X29" s="78"/>
      <x:c r="Y29" s="78"/>
      <x:c r="Z29" s="78"/>
      <x:c r="AA29" s="78"/>
      <x:c r="AB29" s="78"/>
      <x:c r="AC29" s="78"/>
      <x:c r="AD29" s="78"/>
      <x:c r="AE29" s="78"/>
    </x:row>
    <x:row r="30" ht="24" customHeight="1">
      <x:c r="A30" s="78"/>
      <x:c r="B30" s="103"/>
      <x:c r="C30" s="104" t="str">
        <x:v>자체</x:v>
      </x:c>
      <x:c r="D30" s="81" t="str">
        <x:v>법과 사회</x:v>
      </x:c>
      <x:c r="E30" s="127"/>
      <x:c r="F30" s="128"/>
      <x:c r="G30" s="134"/>
      <x:c r="H30" s="128"/>
      <x:c r="I30" s="128"/>
      <x:c r="J30" s="134"/>
      <x:c r="K30" s="128"/>
      <x:c r="L30" s="128"/>
      <x:c r="M30" s="134"/>
      <x:c r="N30" s="128" t="n">
        <x:f>'기존안 과목내역'!I43</x:f>
        <x:v>3</x:v>
      </x:c>
      <x:c r="O30" s="128" t="n">
        <x:f>'기존안 과목내역'!J43</x:f>
        <x:v>5</x:v>
      </x:c>
      <x:c r="P30" s="134" t="n">
        <x:f>N30*O30</x:f>
        <x:v>15</x:v>
      </x:c>
      <x:c r="Q30" s="128"/>
      <x:c r="R30" s="128"/>
      <x:c r="S30" s="134"/>
      <x:c r="T30" s="128"/>
      <x:c r="U30" s="128"/>
      <x:c r="V30" s="137"/>
      <x:c r="W30" s="78"/>
      <x:c r="X30" s="78"/>
      <x:c r="Y30" s="78"/>
      <x:c r="Z30" s="78"/>
      <x:c r="AA30" s="78"/>
      <x:c r="AB30" s="78"/>
      <x:c r="AC30" s="78"/>
      <x:c r="AD30" s="78"/>
      <x:c r="AE30" s="78"/>
    </x:row>
    <x:row r="31" ht="24" customHeight="1">
      <x:c r="A31" s="78"/>
      <x:c r="B31" s="103"/>
      <x:c r="C31" s="104" t="str">
        <x:v>자체</x:v>
      </x:c>
      <x:c r="D31" s="81" t="str">
        <x:v>정치</x:v>
      </x:c>
      <x:c r="E31" s="127"/>
      <x:c r="F31" s="128"/>
      <x:c r="G31" s="134"/>
      <x:c r="H31" s="128"/>
      <x:c r="I31" s="128"/>
      <x:c r="J31" s="134"/>
      <x:c r="K31" s="128"/>
      <x:c r="L31" s="128"/>
      <x:c r="M31" s="134"/>
      <x:c r="N31" s="128" t="n">
        <x:f>'기존안 과목내역'!I45</x:f>
        <x:v>3</x:v>
      </x:c>
      <x:c r="O31" s="128" t="n">
        <x:f>'기존안 과목내역'!J45</x:f>
        <x:v>4</x:v>
      </x:c>
      <x:c r="P31" s="134" t="n">
        <x:f>N31*O31</x:f>
        <x:v>12</x:v>
      </x:c>
      <x:c r="Q31" s="128"/>
      <x:c r="R31" s="128"/>
      <x:c r="S31" s="134"/>
      <x:c r="T31" s="128"/>
      <x:c r="U31" s="128"/>
      <x:c r="V31" s="137"/>
      <x:c r="W31" s="78"/>
      <x:c r="X31" s="78"/>
      <x:c r="Y31" s="78"/>
      <x:c r="Z31" s="78"/>
      <x:c r="AA31" s="78"/>
      <x:c r="AB31" s="78"/>
      <x:c r="AC31" s="78"/>
      <x:c r="AD31" s="78"/>
      <x:c r="AE31" s="78"/>
    </x:row>
    <x:row r="32" ht="24" customHeight="1">
      <x:c r="A32" s="78"/>
      <x:c r="B32" s="103"/>
      <x:c r="C32" s="105" t="str">
        <x:v>통합</x:v>
      </x:c>
      <x:c r="D32" s="101" t="str">
        <x:v>통합사회1</x:v>
      </x:c>
      <x:c r="E32" s="127" t="n">
        <x:f>'기존안 과목내역'!I9</x:f>
        <x:v>4</x:v>
      </x:c>
      <x:c r="F32" s="128" t="n">
        <x:f>'공통융합 배정'!K10</x:f>
        <x:v>7</x:v>
      </x:c>
      <x:c r="G32" s="134" t="n">
        <x:f>'공통융합 배정'!L10</x:f>
        <x:v>28</x:v>
      </x:c>
      <x:c r="H32" s="128"/>
      <x:c r="I32" s="128"/>
      <x:c r="J32" s="134"/>
      <x:c r="K32" s="128"/>
      <x:c r="L32" s="128"/>
      <x:c r="M32" s="134"/>
      <x:c r="N32" s="128"/>
      <x:c r="O32" s="128"/>
      <x:c r="P32" s="134"/>
      <x:c r="Q32" s="128"/>
      <x:c r="R32" s="128"/>
      <x:c r="S32" s="134"/>
      <x:c r="T32" s="128"/>
      <x:c r="U32" s="128"/>
      <x:c r="V32" s="137"/>
      <x:c r="W32" s="78"/>
      <x:c r="X32" s="78"/>
      <x:c r="Y32" s="78"/>
      <x:c r="Z32" s="78"/>
      <x:c r="AA32" s="78"/>
      <x:c r="AB32" s="78"/>
      <x:c r="AC32" s="78"/>
      <x:c r="AD32" s="78"/>
      <x:c r="AE32" s="78"/>
    </x:row>
    <x:row r="33" ht="24" customHeight="1">
      <x:c r="A33" s="78"/>
      <x:c r="B33" s="103"/>
      <x:c r="C33" s="105" t="str">
        <x:v>융합</x:v>
      </x:c>
      <x:c r="D33" s="101" t="str">
        <x:v>금융과 경제생활</x:v>
      </x:c>
      <x:c r="E33" s="127"/>
      <x:c r="F33" s="128"/>
      <x:c r="G33" s="134"/>
      <x:c r="H33" s="128"/>
      <x:c r="I33" s="128"/>
      <x:c r="J33" s="134"/>
      <x:c r="K33" s="128"/>
      <x:c r="L33" s="128"/>
      <x:c r="M33" s="134"/>
      <x:c r="N33" s="128"/>
      <x:c r="O33" s="128"/>
      <x:c r="P33" s="134"/>
      <x:c r="Q33" s="128" t="n">
        <x:f>'기존안 과목내역'!I24</x:f>
        <x:v>3</x:v>
      </x:c>
      <x:c r="R33" s="128" t="n">
        <x:f>'공통융합 배정'!K11</x:f>
        <x:v>1</x:v>
      </x:c>
      <x:c r="S33" s="134" t="n">
        <x:f>'공통융합 배정'!L11</x:f>
        <x:v>3</x:v>
      </x:c>
      <x:c r="T33" s="128" t="n">
        <x:f>'기존안 과목내역'!I52</x:f>
        <x:v>3</x:v>
      </x:c>
      <x:c r="U33" s="128" t="n">
        <x:f>'공통융합 배정'!K18</x:f>
        <x:v>5</x:v>
      </x:c>
      <x:c r="V33" s="137" t="n">
        <x:f>'공통융합 배정'!L18</x:f>
        <x:v>15</x:v>
      </x:c>
      <x:c r="W33" s="78"/>
      <x:c r="X33" s="78"/>
      <x:c r="Y33" s="78"/>
      <x:c r="Z33" s="78"/>
      <x:c r="AA33" s="78"/>
      <x:c r="AB33" s="78"/>
      <x:c r="AC33" s="78"/>
      <x:c r="AD33" s="78"/>
      <x:c r="AE33" s="78"/>
    </x:row>
    <x:row r="34" ht="24" customHeight="1">
      <x:c r="A34" s="78"/>
      <x:c r="B34" s="103"/>
      <x:c r="C34" s="105" t="str">
        <x:v>융합</x:v>
      </x:c>
      <x:c r="D34" s="101" t="str">
        <x:v>기후변화와 지속가능한 세계</x:v>
      </x:c>
      <x:c r="E34" s="127"/>
      <x:c r="F34" s="128"/>
      <x:c r="G34" s="134"/>
      <x:c r="H34" s="128"/>
      <x:c r="I34" s="128"/>
      <x:c r="J34" s="134"/>
      <x:c r="K34" s="128"/>
      <x:c r="L34" s="128"/>
      <x:c r="M34" s="134"/>
      <x:c r="N34" s="128"/>
      <x:c r="O34" s="128"/>
      <x:c r="P34" s="134"/>
      <x:c r="Q34" s="128" t="n">
        <x:f>'기존안 과목내역'!I25</x:f>
        <x:v>3</x:v>
      </x:c>
      <x:c r="R34" s="128" t="n">
        <x:f>'공통융합 배정'!K12</x:f>
        <x:v>0</x:v>
      </x:c>
      <x:c r="S34" s="134" t="n">
        <x:f>'공통융합 배정'!L12</x:f>
        <x:v>0</x:v>
      </x:c>
      <x:c r="T34" s="128"/>
      <x:c r="U34" s="128"/>
      <x:c r="V34" s="137"/>
      <x:c r="W34" s="78"/>
      <x:c r="X34" s="78"/>
      <x:c r="Y34" s="78"/>
      <x:c r="Z34" s="78"/>
      <x:c r="AA34" s="78"/>
      <x:c r="AB34" s="78"/>
      <x:c r="AC34" s="78"/>
      <x:c r="AD34" s="78"/>
      <x:c r="AE34" s="78"/>
    </x:row>
    <x:row r="35" ht="24" customHeight="1">
      <x:c r="A35" s="78"/>
      <x:c r="B35" s="103"/>
      <x:c r="C35" s="105" t="str">
        <x:v>융합</x:v>
      </x:c>
      <x:c r="D35" s="101" t="str">
        <x:v>사회문제 탐구</x:v>
      </x:c>
      <x:c r="E35" s="127"/>
      <x:c r="F35" s="128"/>
      <x:c r="G35" s="134"/>
      <x:c r="H35" s="128"/>
      <x:c r="I35" s="128"/>
      <x:c r="J35" s="134"/>
      <x:c r="K35" s="128"/>
      <x:c r="L35" s="128"/>
      <x:c r="M35" s="134"/>
      <x:c r="N35" s="128"/>
      <x:c r="O35" s="128"/>
      <x:c r="P35" s="134"/>
      <x:c r="Q35" s="128" t="n">
        <x:f>'기존안 과목내역'!I26</x:f>
        <x:v>3</x:v>
      </x:c>
      <x:c r="R35" s="128" t="n">
        <x:f>'공통융합 배정'!K13</x:f>
        <x:v>2</x:v>
      </x:c>
      <x:c r="S35" s="134" t="n">
        <x:f>'공통융합 배정'!L13</x:f>
        <x:v>6</x:v>
      </x:c>
      <x:c r="T35" s="128" t="n">
        <x:f>'기존안 과목내역'!I53</x:f>
        <x:v>3</x:v>
      </x:c>
      <x:c r="U35" s="128" t="n">
        <x:f>'공통융합 배정'!K19</x:f>
        <x:v>8</x:v>
      </x:c>
      <x:c r="V35" s="137" t="n">
        <x:f>'공통융합 배정'!L19</x:f>
        <x:v>24</x:v>
      </x:c>
      <x:c r="W35" s="78"/>
      <x:c r="X35" s="78"/>
      <x:c r="Y35" s="78"/>
      <x:c r="Z35" s="78"/>
      <x:c r="AA35" s="78"/>
      <x:c r="AB35" s="78"/>
      <x:c r="AC35" s="78"/>
      <x:c r="AD35" s="78"/>
      <x:c r="AE35" s="78"/>
    </x:row>
    <x:row r="36" ht="24" customHeight="1">
      <x:c r="A36" s="78"/>
      <x:c r="B36" s="103"/>
      <x:c r="C36" s="105" t="str">
        <x:v>융합</x:v>
      </x:c>
      <x:c r="D36" s="101" t="str">
        <x:v>여행지리</x:v>
      </x:c>
      <x:c r="E36" s="127"/>
      <x:c r="F36" s="128"/>
      <x:c r="G36" s="134"/>
      <x:c r="H36" s="128"/>
      <x:c r="I36" s="128"/>
      <x:c r="J36" s="134"/>
      <x:c r="K36" s="128"/>
      <x:c r="L36" s="128"/>
      <x:c r="M36" s="134"/>
      <x:c r="N36" s="128"/>
      <x:c r="O36" s="128"/>
      <x:c r="P36" s="134"/>
      <x:c r="Q36" s="128" t="n">
        <x:f>'기존안 과목내역'!I27</x:f>
        <x:v>3</x:v>
      </x:c>
      <x:c r="R36" s="128" t="n">
        <x:f>'공통융합 배정'!K14</x:f>
        <x:v>0</x:v>
      </x:c>
      <x:c r="S36" s="134" t="n">
        <x:f>'공통융합 배정'!L14</x:f>
        <x:v>0</x:v>
      </x:c>
      <x:c r="T36" s="128" t="n">
        <x:f>'기존안 과목내역'!I54</x:f>
        <x:v>3</x:v>
      </x:c>
      <x:c r="U36" s="128" t="n">
        <x:f>'공통융합 배정'!K20</x:f>
        <x:v>0</x:v>
      </x:c>
      <x:c r="V36" s="137" t="n">
        <x:f>'공통융합 배정'!L20</x:f>
        <x:v>0</x:v>
      </x:c>
      <x:c r="W36" s="78"/>
      <x:c r="X36" s="78"/>
      <x:c r="Y36" s="78"/>
      <x:c r="Z36" s="78"/>
      <x:c r="AA36" s="78"/>
      <x:c r="AB36" s="78"/>
      <x:c r="AC36" s="78"/>
      <x:c r="AD36" s="78"/>
      <x:c r="AE36" s="78"/>
    </x:row>
    <x:row r="37" ht="24" customHeight="1">
      <x:c r="A37" s="78"/>
      <x:c r="B37" s="103"/>
      <x:c r="C37" s="105" t="str">
        <x:v>융합</x:v>
      </x:c>
      <x:c r="D37" s="101" t="str">
        <x:v>역사로 탐구하는 현대 세계</x:v>
      </x:c>
      <x:c r="E37" s="127"/>
      <x:c r="F37" s="128"/>
      <x:c r="G37" s="134"/>
      <x:c r="H37" s="128"/>
      <x:c r="I37" s="128"/>
      <x:c r="J37" s="134"/>
      <x:c r="K37" s="128"/>
      <x:c r="L37" s="128"/>
      <x:c r="M37" s="134"/>
      <x:c r="N37" s="128"/>
      <x:c r="O37" s="128"/>
      <x:c r="P37" s="134"/>
      <x:c r="Q37" s="128" t="n">
        <x:f>'기존안 과목내역'!I28</x:f>
        <x:v>3</x:v>
      </x:c>
      <x:c r="R37" s="128" t="n">
        <x:f>'공통융합 배정'!K15</x:f>
        <x:v>0</x:v>
      </x:c>
      <x:c r="S37" s="134" t="n">
        <x:f>'공통융합 배정'!L15</x:f>
        <x:v>0</x:v>
      </x:c>
      <x:c r="T37" s="128"/>
      <x:c r="U37" s="128"/>
      <x:c r="V37" s="137"/>
      <x:c r="W37" s="78"/>
      <x:c r="X37" s="78"/>
      <x:c r="Y37" s="78"/>
      <x:c r="Z37" s="78"/>
      <x:c r="AA37" s="78"/>
      <x:c r="AB37" s="78"/>
      <x:c r="AC37" s="78"/>
      <x:c r="AD37" s="78"/>
      <x:c r="AE37" s="78"/>
    </x:row>
    <x:row r="38" ht="24" customHeight="1">
      <x:c r="A38" s="78"/>
      <x:c r="B38" s="103"/>
      <x:c r="C38" s="105" t="str">
        <x:v>융합</x:v>
      </x:c>
      <x:c r="D38" s="101" t="str">
        <x:v>윤리문제 탐구</x:v>
      </x:c>
      <x:c r="E38" s="127"/>
      <x:c r="F38" s="128"/>
      <x:c r="G38" s="134"/>
      <x:c r="H38" s="128"/>
      <x:c r="I38" s="128"/>
      <x:c r="J38" s="134"/>
      <x:c r="K38" s="128"/>
      <x:c r="L38" s="128"/>
      <x:c r="M38" s="134"/>
      <x:c r="N38" s="128"/>
      <x:c r="O38" s="128"/>
      <x:c r="P38" s="134"/>
      <x:c r="Q38" s="128" t="n">
        <x:f>'기존안 과목내역'!I29</x:f>
        <x:v>3</x:v>
      </x:c>
      <x:c r="R38" s="128" t="n">
        <x:f>'공통융합 배정'!K16</x:f>
        <x:v>0</x:v>
      </x:c>
      <x:c r="S38" s="134" t="n">
        <x:f>'공통융합 배정'!L16</x:f>
        <x:v>0</x:v>
      </x:c>
      <x:c r="T38" s="128"/>
      <x:c r="U38" s="128"/>
      <x:c r="V38" s="137"/>
      <x:c r="W38" s="78"/>
      <x:c r="X38" s="78"/>
      <x:c r="Y38" s="78"/>
      <x:c r="Z38" s="78"/>
      <x:c r="AA38" s="78"/>
      <x:c r="AB38" s="78"/>
      <x:c r="AC38" s="78"/>
      <x:c r="AD38" s="78"/>
      <x:c r="AE38" s="78"/>
    </x:row>
    <x:row r="39" ht="24" customHeight="1">
      <x:c r="A39" s="78"/>
      <x:c r="B39" s="103"/>
      <x:c r="C39" s="105" t="str">
        <x:v>통합</x:v>
      </x:c>
      <x:c r="D39" s="101" t="str">
        <x:v>통합사회2</x:v>
      </x:c>
      <x:c r="E39" s="130"/>
      <x:c r="F39" s="131"/>
      <x:c r="G39" s="135"/>
      <x:c r="H39" s="131" t="n">
        <x:f>'기존안 과목내역'!I39</x:f>
        <x:v>4</x:v>
      </x:c>
      <x:c r="I39" s="131" t="n">
        <x:f>'공통융합 배정'!K17</x:f>
        <x:v>2</x:v>
      </x:c>
      <x:c r="J39" s="135" t="n">
        <x:f>'공통융합 배정'!L17</x:f>
        <x:v>8</x:v>
      </x:c>
      <x:c r="K39" s="131"/>
      <x:c r="L39" s="131"/>
      <x:c r="M39" s="135"/>
      <x:c r="N39" s="131"/>
      <x:c r="O39" s="131"/>
      <x:c r="P39" s="135"/>
      <x:c r="Q39" s="131"/>
      <x:c r="R39" s="131"/>
      <x:c r="S39" s="135"/>
      <x:c r="T39" s="131"/>
      <x:c r="U39" s="131"/>
      <x:c r="V39" s="138"/>
      <x:c r="W39" s="78"/>
      <x:c r="X39" s="78"/>
      <x:c r="Y39" s="78"/>
      <x:c r="Z39" s="78"/>
      <x:c r="AA39" s="78"/>
      <x:c r="AB39" s="78"/>
      <x:c r="AC39" s="78"/>
      <x:c r="AD39" s="78"/>
      <x:c r="AE39" s="78"/>
    </x:row>
    <x:row r="40" ht="30" customHeight="1">
      <x:c r="A40" s="78"/>
      <x:c r="B40" s="141" t="str">
        <x:v>지리 합계</x:v>
      </x:c>
      <x:c r="C40" s="141"/>
      <x:c r="D40" s="141"/>
      <x:c r="E40" s="141"/>
      <x:c r="F40" s="141"/>
      <x:c r="G40" s="141" t="n">
        <x:f>SUM(G44)</x:f>
        <x:v>8</x:v>
      </x:c>
      <x:c r="H40" s="141"/>
      <x:c r="I40" s="141"/>
      <x:c r="J40" s="141" t="n">
        <x:f>SUM(J51)</x:f>
        <x:v>12</x:v>
      </x:c>
      <x:c r="K40" s="141"/>
      <x:c r="L40" s="141"/>
      <x:c r="M40" s="141" t="n">
        <x:f>SUM(M41)</x:f>
        <x:v>9</x:v>
      </x:c>
      <x:c r="N40" s="141"/>
      <x:c r="O40" s="141"/>
      <x:c r="P40" s="141" t="n">
        <x:f>SUM(P43)</x:f>
        <x:v>6</x:v>
      </x:c>
      <x:c r="Q40" s="141"/>
      <x:c r="R40" s="141"/>
      <x:c r="S40" s="141" t="n">
        <x:f>SUM(S42,S45,S46,S47,S48,S49,S50)</x:f>
        <x:v>21</x:v>
      </x:c>
      <x:c r="T40" s="141"/>
      <x:c r="U40" s="141"/>
      <x:c r="V40" s="141" t="n">
        <x:f>SUM(V45,V47,V48)</x:f>
        <x:v>21</x:v>
      </x:c>
      <x:c r="W40" s="141" t="n">
        <x:f>IF(ISNUMBER('산정근거'!C11),'산정근거'!C11,"미정")</x:f>
        <x:v>2</x:v>
      </x:c>
      <x:c r="X40" s="143" t="n">
        <x:f>SUM(M41,S42)</x:f>
        <x:v>24</x:v>
      </x:c>
      <x:c r="Y40" s="143" t="n">
        <x:f>SUM(G44,S45,S46,S47,S48,S49,S50)</x:f>
        <x:v>14</x:v>
      </x:c>
      <x:c r="Z40" s="143" t="n">
        <x:f>X40+Y40</x:f>
        <x:v>38</x:v>
      </x:c>
      <x:c r="AA40" s="144" t="n">
        <x:f>IF(OR(NOT(ISNUMBER(W40)),W40&lt;=0),"미정",Z40/W40)</x:f>
        <x:v>19</x:v>
      </x:c>
      <x:c r="AB40" s="143" t="n">
        <x:f>SUM(P43)</x:f>
        <x:v>6</x:v>
      </x:c>
      <x:c r="AC40" s="143" t="n">
        <x:f>SUM(V45,V47,V48,J51)</x:f>
        <x:v>33</x:v>
      </x:c>
      <x:c r="AD40" s="143" t="n">
        <x:f>AB40+AC40</x:f>
        <x:v>39</x:v>
      </x:c>
      <x:c r="AE40" s="144" t="n">
        <x:f>IF(OR(NOT(ISNUMBER(W40)),W40&lt;=0),"미정",AD40/W40)</x:f>
        <x:v>19.5</x:v>
      </x:c>
    </x:row>
    <x:row r="41" ht="24" customHeight="1">
      <x:c r="A41" s="78"/>
      <x:c r="B41" s="103" t="str">
        <x:v>지리</x:v>
      </x:c>
      <x:c r="C41" s="104" t="str">
        <x:v>자체</x:v>
      </x:c>
      <x:c r="D41" s="81" t="str">
        <x:v>세계시민과 지리</x:v>
      </x:c>
      <x:c r="E41" s="124"/>
      <x:c r="F41" s="125"/>
      <x:c r="G41" s="133"/>
      <x:c r="H41" s="125"/>
      <x:c r="I41" s="125"/>
      <x:c r="J41" s="133"/>
      <x:c r="K41" s="125" t="n">
        <x:f>'기존안 과목내역'!I14</x:f>
        <x:v>3</x:v>
      </x:c>
      <x:c r="L41" s="125" t="n">
        <x:f>'기존안 과목내역'!J14</x:f>
        <x:v>3</x:v>
      </x:c>
      <x:c r="M41" s="133" t="n">
        <x:f>K41*L41</x:f>
        <x:v>9</x:v>
      </x:c>
      <x:c r="N41" s="125"/>
      <x:c r="O41" s="125"/>
      <x:c r="P41" s="133"/>
      <x:c r="Q41" s="125"/>
      <x:c r="R41" s="125"/>
      <x:c r="S41" s="133"/>
      <x:c r="T41" s="125"/>
      <x:c r="U41" s="125"/>
      <x:c r="V41" s="136"/>
      <x:c r="W41" s="78"/>
      <x:c r="X41" s="78"/>
      <x:c r="Y41" s="78"/>
      <x:c r="Z41" s="78"/>
      <x:c r="AA41" s="78"/>
      <x:c r="AB41" s="78"/>
      <x:c r="AC41" s="78"/>
      <x:c r="AD41" s="78"/>
      <x:c r="AE41" s="78"/>
    </x:row>
    <x:row r="42" ht="24" customHeight="1">
      <x:c r="A42" s="78"/>
      <x:c r="B42" s="103"/>
      <x:c r="C42" s="104" t="str">
        <x:v>자체</x:v>
      </x:c>
      <x:c r="D42" s="81" t="str">
        <x:v>도시의 미래 탐구</x:v>
      </x:c>
      <x:c r="E42" s="127"/>
      <x:c r="F42" s="128"/>
      <x:c r="G42" s="134"/>
      <x:c r="H42" s="128"/>
      <x:c r="I42" s="128"/>
      <x:c r="J42" s="134"/>
      <x:c r="K42" s="128"/>
      <x:c r="L42" s="128"/>
      <x:c r="M42" s="134"/>
      <x:c r="N42" s="128"/>
      <x:c r="O42" s="128"/>
      <x:c r="P42" s="134"/>
      <x:c r="Q42" s="128" t="n">
        <x:f>'기존안 과목내역'!I21</x:f>
        <x:v>3</x:v>
      </x:c>
      <x:c r="R42" s="128" t="n">
        <x:f>'기존안 과목내역'!J21</x:f>
        <x:v>5</x:v>
      </x:c>
      <x:c r="S42" s="134" t="n">
        <x:f>Q42*R42</x:f>
        <x:v>15</x:v>
      </x:c>
      <x:c r="T42" s="128"/>
      <x:c r="U42" s="128"/>
      <x:c r="V42" s="137"/>
      <x:c r="W42" s="78"/>
      <x:c r="X42" s="78"/>
      <x:c r="Y42" s="78"/>
      <x:c r="Z42" s="78"/>
      <x:c r="AA42" s="78"/>
      <x:c r="AB42" s="78"/>
      <x:c r="AC42" s="78"/>
      <x:c r="AD42" s="78"/>
      <x:c r="AE42" s="78"/>
    </x:row>
    <x:row r="43" ht="24" customHeight="1">
      <x:c r="A43" s="78"/>
      <x:c r="B43" s="103"/>
      <x:c r="C43" s="104" t="str">
        <x:v>자체</x:v>
      </x:c>
      <x:c r="D43" s="81" t="str">
        <x:v>한국지리 탐구</x:v>
      </x:c>
      <x:c r="E43" s="127"/>
      <x:c r="F43" s="128"/>
      <x:c r="G43" s="134"/>
      <x:c r="H43" s="128"/>
      <x:c r="I43" s="128"/>
      <x:c r="J43" s="134"/>
      <x:c r="K43" s="128"/>
      <x:c r="L43" s="128"/>
      <x:c r="M43" s="134"/>
      <x:c r="N43" s="128" t="n">
        <x:f>'기존안 과목내역'!I46</x:f>
        <x:v>3</x:v>
      </x:c>
      <x:c r="O43" s="128" t="n">
        <x:f>'기존안 과목내역'!J46</x:f>
        <x:v>2</x:v>
      </x:c>
      <x:c r="P43" s="134" t="n">
        <x:f>N43*O43</x:f>
        <x:v>6</x:v>
      </x:c>
      <x:c r="Q43" s="128"/>
      <x:c r="R43" s="128"/>
      <x:c r="S43" s="134"/>
      <x:c r="T43" s="128"/>
      <x:c r="U43" s="128"/>
      <x:c r="V43" s="137"/>
      <x:c r="W43" s="78"/>
      <x:c r="X43" s="78"/>
      <x:c r="Y43" s="78"/>
      <x:c r="Z43" s="78"/>
      <x:c r="AA43" s="78"/>
      <x:c r="AB43" s="78"/>
      <x:c r="AC43" s="78"/>
      <x:c r="AD43" s="78"/>
      <x:c r="AE43" s="78"/>
    </x:row>
    <x:row r="44" ht="24" customHeight="1">
      <x:c r="A44" s="78"/>
      <x:c r="B44" s="103"/>
      <x:c r="C44" s="105" t="str">
        <x:v>통합</x:v>
      </x:c>
      <x:c r="D44" s="101" t="str">
        <x:v>통합사회1</x:v>
      </x:c>
      <x:c r="E44" s="127" t="n">
        <x:f>'기존안 과목내역'!I9</x:f>
        <x:v>4</x:v>
      </x:c>
      <x:c r="F44" s="128" t="n">
        <x:f>'공통융합 배정'!M10</x:f>
        <x:v>2</x:v>
      </x:c>
      <x:c r="G44" s="134" t="n">
        <x:f>'공통융합 배정'!N10</x:f>
        <x:v>8</x:v>
      </x:c>
      <x:c r="H44" s="128"/>
      <x:c r="I44" s="128"/>
      <x:c r="J44" s="134"/>
      <x:c r="K44" s="128"/>
      <x:c r="L44" s="128"/>
      <x:c r="M44" s="134"/>
      <x:c r="N44" s="128"/>
      <x:c r="O44" s="128"/>
      <x:c r="P44" s="134"/>
      <x:c r="Q44" s="128"/>
      <x:c r="R44" s="128"/>
      <x:c r="S44" s="134"/>
      <x:c r="T44" s="128"/>
      <x:c r="U44" s="128"/>
      <x:c r="V44" s="137"/>
      <x:c r="W44" s="78"/>
      <x:c r="X44" s="78"/>
      <x:c r="Y44" s="78"/>
      <x:c r="Z44" s="78"/>
      <x:c r="AA44" s="78"/>
      <x:c r="AB44" s="78"/>
      <x:c r="AC44" s="78"/>
      <x:c r="AD44" s="78"/>
      <x:c r="AE44" s="78"/>
    </x:row>
    <x:row r="45" ht="24" customHeight="1">
      <x:c r="A45" s="78"/>
      <x:c r="B45" s="103"/>
      <x:c r="C45" s="105" t="str">
        <x:v>융합</x:v>
      </x:c>
      <x:c r="D45" s="101" t="str">
        <x:v>금융과 경제생활</x:v>
      </x:c>
      <x:c r="E45" s="127"/>
      <x:c r="F45" s="128"/>
      <x:c r="G45" s="134"/>
      <x:c r="H45" s="128"/>
      <x:c r="I45" s="128"/>
      <x:c r="J45" s="134"/>
      <x:c r="K45" s="128"/>
      <x:c r="L45" s="128"/>
      <x:c r="M45" s="134"/>
      <x:c r="N45" s="128"/>
      <x:c r="O45" s="128"/>
      <x:c r="P45" s="134"/>
      <x:c r="Q45" s="128" t="n">
        <x:f>'기존안 과목내역'!I24</x:f>
        <x:v>3</x:v>
      </x:c>
      <x:c r="R45" s="128" t="n">
        <x:f>'공통융합 배정'!M11</x:f>
        <x:v>0</x:v>
      </x:c>
      <x:c r="S45" s="134" t="n">
        <x:f>'공통융합 배정'!N11</x:f>
        <x:v>0</x:v>
      </x:c>
      <x:c r="T45" s="128" t="n">
        <x:f>'기존안 과목내역'!I52</x:f>
        <x:v>3</x:v>
      </x:c>
      <x:c r="U45" s="128" t="n">
        <x:f>'공통융합 배정'!M18</x:f>
        <x:v>0</x:v>
      </x:c>
      <x:c r="V45" s="137" t="n">
        <x:f>'공통융합 배정'!N18</x:f>
        <x:v>0</x:v>
      </x:c>
      <x:c r="W45" s="78"/>
      <x:c r="X45" s="78"/>
      <x:c r="Y45" s="78"/>
      <x:c r="Z45" s="78"/>
      <x:c r="AA45" s="78"/>
      <x:c r="AB45" s="78"/>
      <x:c r="AC45" s="78"/>
      <x:c r="AD45" s="78"/>
      <x:c r="AE45" s="78"/>
    </x:row>
    <x:row r="46" ht="24" customHeight="1">
      <x:c r="A46" s="78"/>
      <x:c r="B46" s="103"/>
      <x:c r="C46" s="105" t="str">
        <x:v>융합</x:v>
      </x:c>
      <x:c r="D46" s="101" t="str">
        <x:v>기후변화와 지속가능한 세계</x:v>
      </x:c>
      <x:c r="E46" s="127"/>
      <x:c r="F46" s="128"/>
      <x:c r="G46" s="134"/>
      <x:c r="H46" s="128"/>
      <x:c r="I46" s="128"/>
      <x:c r="J46" s="134"/>
      <x:c r="K46" s="128"/>
      <x:c r="L46" s="128"/>
      <x:c r="M46" s="134"/>
      <x:c r="N46" s="128"/>
      <x:c r="O46" s="128"/>
      <x:c r="P46" s="134"/>
      <x:c r="Q46" s="128" t="n">
        <x:f>'기존안 과목내역'!I25</x:f>
        <x:v>3</x:v>
      </x:c>
      <x:c r="R46" s="128" t="n">
        <x:f>'공통융합 배정'!M12</x:f>
        <x:v>2</x:v>
      </x:c>
      <x:c r="S46" s="134" t="n">
        <x:f>'공통융합 배정'!N12</x:f>
        <x:v>6</x:v>
      </x:c>
      <x:c r="T46" s="128"/>
      <x:c r="U46" s="128"/>
      <x:c r="V46" s="137"/>
      <x:c r="W46" s="78"/>
      <x:c r="X46" s="78"/>
      <x:c r="Y46" s="78"/>
      <x:c r="Z46" s="78"/>
      <x:c r="AA46" s="78"/>
      <x:c r="AB46" s="78"/>
      <x:c r="AC46" s="78"/>
      <x:c r="AD46" s="78"/>
      <x:c r="AE46" s="78"/>
    </x:row>
    <x:row r="47" ht="24" customHeight="1">
      <x:c r="A47" s="78"/>
      <x:c r="B47" s="103"/>
      <x:c r="C47" s="105" t="str">
        <x:v>융합</x:v>
      </x:c>
      <x:c r="D47" s="101" t="str">
        <x:v>사회문제 탐구</x:v>
      </x:c>
      <x:c r="E47" s="127"/>
      <x:c r="F47" s="128"/>
      <x:c r="G47" s="134"/>
      <x:c r="H47" s="128"/>
      <x:c r="I47" s="128"/>
      <x:c r="J47" s="134"/>
      <x:c r="K47" s="128"/>
      <x:c r="L47" s="128"/>
      <x:c r="M47" s="134"/>
      <x:c r="N47" s="128"/>
      <x:c r="O47" s="128"/>
      <x:c r="P47" s="134"/>
      <x:c r="Q47" s="128" t="n">
        <x:f>'기존안 과목내역'!I26</x:f>
        <x:v>3</x:v>
      </x:c>
      <x:c r="R47" s="128" t="n">
        <x:f>'공통융합 배정'!M13</x:f>
        <x:v>0</x:v>
      </x:c>
      <x:c r="S47" s="134" t="n">
        <x:f>'공통융합 배정'!N13</x:f>
        <x:v>0</x:v>
      </x:c>
      <x:c r="T47" s="128" t="n">
        <x:f>'기존안 과목내역'!I53</x:f>
        <x:v>3</x:v>
      </x:c>
      <x:c r="U47" s="128" t="n">
        <x:f>'공통융합 배정'!M19</x:f>
        <x:v>0</x:v>
      </x:c>
      <x:c r="V47" s="137" t="n">
        <x:f>'공통융합 배정'!N19</x:f>
        <x:v>0</x:v>
      </x:c>
      <x:c r="W47" s="78"/>
      <x:c r="X47" s="78"/>
      <x:c r="Y47" s="78"/>
      <x:c r="Z47" s="78"/>
      <x:c r="AA47" s="78"/>
      <x:c r="AB47" s="78"/>
      <x:c r="AC47" s="78"/>
      <x:c r="AD47" s="78"/>
      <x:c r="AE47" s="78"/>
    </x:row>
    <x:row r="48" ht="24" customHeight="1">
      <x:c r="A48" s="78"/>
      <x:c r="B48" s="103"/>
      <x:c r="C48" s="105" t="str">
        <x:v>융합</x:v>
      </x:c>
      <x:c r="D48" s="101" t="str">
        <x:v>여행지리</x:v>
      </x:c>
      <x:c r="E48" s="127"/>
      <x:c r="F48" s="128"/>
      <x:c r="G48" s="134"/>
      <x:c r="H48" s="128"/>
      <x:c r="I48" s="128"/>
      <x:c r="J48" s="134"/>
      <x:c r="K48" s="128"/>
      <x:c r="L48" s="128"/>
      <x:c r="M48" s="134"/>
      <x:c r="N48" s="128"/>
      <x:c r="O48" s="128"/>
      <x:c r="P48" s="134"/>
      <x:c r="Q48" s="128" t="n">
        <x:f>'기존안 과목내역'!I27</x:f>
        <x:v>3</x:v>
      </x:c>
      <x:c r="R48" s="128" t="n">
        <x:f>'공통융합 배정'!M14</x:f>
        <x:v>0</x:v>
      </x:c>
      <x:c r="S48" s="134" t="n">
        <x:f>'공통융합 배정'!N14</x:f>
        <x:v>0</x:v>
      </x:c>
      <x:c r="T48" s="128" t="n">
        <x:f>'기존안 과목내역'!I54</x:f>
        <x:v>3</x:v>
      </x:c>
      <x:c r="U48" s="128" t="n">
        <x:f>'공통융합 배정'!M20</x:f>
        <x:v>7</x:v>
      </x:c>
      <x:c r="V48" s="137" t="n">
        <x:f>'공통융합 배정'!N20</x:f>
        <x:v>21</x:v>
      </x:c>
      <x:c r="W48" s="78"/>
      <x:c r="X48" s="78"/>
      <x:c r="Y48" s="78"/>
      <x:c r="Z48" s="78"/>
      <x:c r="AA48" s="78"/>
      <x:c r="AB48" s="78"/>
      <x:c r="AC48" s="78"/>
      <x:c r="AD48" s="78"/>
      <x:c r="AE48" s="78"/>
    </x:row>
    <x:row r="49" ht="24" customHeight="1">
      <x:c r="A49" s="78"/>
      <x:c r="B49" s="103"/>
      <x:c r="C49" s="105" t="str">
        <x:v>융합</x:v>
      </x:c>
      <x:c r="D49" s="101" t="str">
        <x:v>역사로 탐구하는 현대 세계</x:v>
      </x:c>
      <x:c r="E49" s="127"/>
      <x:c r="F49" s="128"/>
      <x:c r="G49" s="134"/>
      <x:c r="H49" s="128"/>
      <x:c r="I49" s="128"/>
      <x:c r="J49" s="134"/>
      <x:c r="K49" s="128"/>
      <x:c r="L49" s="128"/>
      <x:c r="M49" s="134"/>
      <x:c r="N49" s="128"/>
      <x:c r="O49" s="128"/>
      <x:c r="P49" s="134"/>
      <x:c r="Q49" s="128" t="n">
        <x:f>'기존안 과목내역'!I28</x:f>
        <x:v>3</x:v>
      </x:c>
      <x:c r="R49" s="128" t="n">
        <x:f>'공통융합 배정'!M15</x:f>
        <x:v>0</x:v>
      </x:c>
      <x:c r="S49" s="134" t="n">
        <x:f>'공통융합 배정'!N15</x:f>
        <x:v>0</x:v>
      </x:c>
      <x:c r="T49" s="128"/>
      <x:c r="U49" s="128"/>
      <x:c r="V49" s="137"/>
      <x:c r="W49" s="78"/>
      <x:c r="X49" s="78"/>
      <x:c r="Y49" s="78"/>
      <x:c r="Z49" s="78"/>
      <x:c r="AA49" s="78"/>
      <x:c r="AB49" s="78"/>
      <x:c r="AC49" s="78"/>
      <x:c r="AD49" s="78"/>
      <x:c r="AE49" s="78"/>
    </x:row>
    <x:row r="50" ht="24" customHeight="1">
      <x:c r="A50" s="78"/>
      <x:c r="B50" s="103"/>
      <x:c r="C50" s="105" t="str">
        <x:v>융합</x:v>
      </x:c>
      <x:c r="D50" s="101" t="str">
        <x:v>윤리문제 탐구</x:v>
      </x:c>
      <x:c r="E50" s="127"/>
      <x:c r="F50" s="128"/>
      <x:c r="G50" s="134"/>
      <x:c r="H50" s="128"/>
      <x:c r="I50" s="128"/>
      <x:c r="J50" s="134"/>
      <x:c r="K50" s="128"/>
      <x:c r="L50" s="128"/>
      <x:c r="M50" s="134"/>
      <x:c r="N50" s="128"/>
      <x:c r="O50" s="128"/>
      <x:c r="P50" s="134"/>
      <x:c r="Q50" s="128" t="n">
        <x:f>'기존안 과목내역'!I29</x:f>
        <x:v>3</x:v>
      </x:c>
      <x:c r="R50" s="128" t="n">
        <x:f>'공통융합 배정'!M16</x:f>
        <x:v>0</x:v>
      </x:c>
      <x:c r="S50" s="134" t="n">
        <x:f>'공통융합 배정'!N16</x:f>
        <x:v>0</x:v>
      </x:c>
      <x:c r="T50" s="128"/>
      <x:c r="U50" s="128"/>
      <x:c r="V50" s="137"/>
      <x:c r="W50" s="78"/>
      <x:c r="X50" s="78"/>
      <x:c r="Y50" s="78"/>
      <x:c r="Z50" s="78"/>
      <x:c r="AA50" s="78"/>
      <x:c r="AB50" s="78"/>
      <x:c r="AC50" s="78"/>
      <x:c r="AD50" s="78"/>
      <x:c r="AE50" s="78"/>
    </x:row>
    <x:row r="51" ht="24" customHeight="1">
      <x:c r="A51" s="78"/>
      <x:c r="B51" s="103"/>
      <x:c r="C51" s="105" t="str">
        <x:v>통합</x:v>
      </x:c>
      <x:c r="D51" s="101" t="str">
        <x:v>통합사회2</x:v>
      </x:c>
      <x:c r="E51" s="130"/>
      <x:c r="F51" s="131"/>
      <x:c r="G51" s="135"/>
      <x:c r="H51" s="131" t="n">
        <x:f>'기존안 과목내역'!I39</x:f>
        <x:v>4</x:v>
      </x:c>
      <x:c r="I51" s="131" t="n">
        <x:f>'공통융합 배정'!M17</x:f>
        <x:v>3</x:v>
      </x:c>
      <x:c r="J51" s="135" t="n">
        <x:f>'공통융합 배정'!N17</x:f>
        <x:v>12</x:v>
      </x:c>
      <x:c r="K51" s="131"/>
      <x:c r="L51" s="131"/>
      <x:c r="M51" s="135"/>
      <x:c r="N51" s="131"/>
      <x:c r="O51" s="131"/>
      <x:c r="P51" s="135"/>
      <x:c r="Q51" s="131"/>
      <x:c r="R51" s="131"/>
      <x:c r="S51" s="135"/>
      <x:c r="T51" s="131"/>
      <x:c r="U51" s="131"/>
      <x:c r="V51" s="138"/>
      <x:c r="W51" s="78"/>
      <x:c r="X51" s="78"/>
      <x:c r="Y51" s="78"/>
      <x:c r="Z51" s="78"/>
      <x:c r="AA51" s="78"/>
      <x:c r="AB51" s="78"/>
      <x:c r="AC51" s="78"/>
      <x:c r="AD51" s="78"/>
      <x:c r="AE51" s="78"/>
    </x:row>
    <x:row r="52" ht="30" customHeight="1">
      <x:c r="A52" s="78"/>
      <x:c r="B52" s="141" t="str">
        <x:v>윤리 합계</x:v>
      </x:c>
      <x:c r="C52" s="141"/>
      <x:c r="D52" s="141"/>
      <x:c r="E52" s="141"/>
      <x:c r="F52" s="141"/>
      <x:c r="G52" s="141" t="n">
        <x:f>SUM(G56)</x:f>
        <x:v>12</x:v>
      </x:c>
      <x:c r="H52" s="141"/>
      <x:c r="I52" s="141"/>
      <x:c r="J52" s="141" t="n">
        <x:f>SUM(J63)</x:f>
        <x:v>16</x:v>
      </x:c>
      <x:c r="K52" s="141"/>
      <x:c r="L52" s="141"/>
      <x:c r="M52" s="141" t="n">
        <x:f>SUM(M53)</x:f>
        <x:v>24</x:v>
      </x:c>
      <x:c r="N52" s="141"/>
      <x:c r="O52" s="141"/>
      <x:c r="P52" s="141" t="n">
        <x:f>SUM(P54)</x:f>
        <x:v>27</x:v>
      </x:c>
      <x:c r="Q52" s="141"/>
      <x:c r="R52" s="141"/>
      <x:c r="S52" s="141" t="n">
        <x:f>SUM(S54,S55,S57,S58,S59,S60,S61,S62)</x:f>
        <x:v>18</x:v>
      </x:c>
      <x:c r="T52" s="141"/>
      <x:c r="U52" s="141"/>
      <x:c r="V52" s="141" t="n">
        <x:f>SUM(V55,V57,V59,V60)</x:f>
        <x:v>12</x:v>
      </x:c>
      <x:c r="W52" s="141" t="n">
        <x:f>IF(ISNUMBER('산정근거'!C13),'산정근거'!C13,"미정")</x:f>
        <x:v>3</x:v>
      </x:c>
      <x:c r="X52" s="143" t="n">
        <x:f>SUM(M53,S54,S55)</x:f>
        <x:v>33</x:v>
      </x:c>
      <x:c r="Y52" s="143" t="n">
        <x:f>SUM(G56,S57,S58,S59,S60,S61,S62)</x:f>
        <x:v>21</x:v>
      </x:c>
      <x:c r="Z52" s="143" t="n">
        <x:f>X52+Y52</x:f>
        <x:v>54</x:v>
      </x:c>
      <x:c r="AA52" s="144" t="n">
        <x:f>IF(OR(NOT(ISNUMBER(W52)),W52&lt;=0),"미정",Z52/W52)</x:f>
        <x:v>18</x:v>
      </x:c>
      <x:c r="AB52" s="143" t="n">
        <x:f>SUM(P54,V55)</x:f>
        <x:v>39</x:v>
      </x:c>
      <x:c r="AC52" s="143" t="n">
        <x:f>SUM(V57,V59,V60,J63)</x:f>
        <x:v>16</x:v>
      </x:c>
      <x:c r="AD52" s="143" t="n">
        <x:f>AB52+AC52</x:f>
        <x:v>55</x:v>
      </x:c>
      <x:c r="AE52" s="144" t="n">
        <x:f>IF(OR(NOT(ISNUMBER(W52)),W52&lt;=0),"미정",AD52/W52)</x:f>
        <x:v>18.333333333333332</x:v>
      </x:c>
    </x:row>
    <x:row r="53" ht="24" customHeight="1">
      <x:c r="A53" s="78"/>
      <x:c r="B53" s="103" t="str">
        <x:v>윤리</x:v>
      </x:c>
      <x:c r="C53" s="104" t="str">
        <x:v>자체</x:v>
      </x:c>
      <x:c r="D53" s="81" t="str">
        <x:v>현대사회와 윤리</x:v>
      </x:c>
      <x:c r="E53" s="124"/>
      <x:c r="F53" s="125"/>
      <x:c r="G53" s="133"/>
      <x:c r="H53" s="125"/>
      <x:c r="I53" s="125"/>
      <x:c r="J53" s="133"/>
      <x:c r="K53" s="125" t="n">
        <x:f>'기존안 과목내역'!I15</x:f>
        <x:v>3</x:v>
      </x:c>
      <x:c r="L53" s="125" t="n">
        <x:f>'기존안 과목내역'!J15</x:f>
        <x:v>8</x:v>
      </x:c>
      <x:c r="M53" s="133" t="n">
        <x:f>K53*L53</x:f>
        <x:v>24</x:v>
      </x:c>
      <x:c r="N53" s="125"/>
      <x:c r="O53" s="125"/>
      <x:c r="P53" s="133"/>
      <x:c r="Q53" s="125"/>
      <x:c r="R53" s="125"/>
      <x:c r="S53" s="133"/>
      <x:c r="T53" s="125"/>
      <x:c r="U53" s="125"/>
      <x:c r="V53" s="136"/>
      <x:c r="W53" s="78"/>
      <x:c r="X53" s="78"/>
      <x:c r="Y53" s="78"/>
      <x:c r="Z53" s="78"/>
      <x:c r="AA53" s="78"/>
      <x:c r="AB53" s="78"/>
      <x:c r="AC53" s="78"/>
      <x:c r="AD53" s="78"/>
      <x:c r="AE53" s="78"/>
    </x:row>
    <x:row r="54" ht="24" customHeight="1">
      <x:c r="A54" s="78"/>
      <x:c r="B54" s="103"/>
      <x:c r="C54" s="104" t="str">
        <x:v>자체</x:v>
      </x:c>
      <x:c r="D54" s="81" t="str">
        <x:v>윤리와 사상</x:v>
      </x:c>
      <x:c r="E54" s="127"/>
      <x:c r="F54" s="128"/>
      <x:c r="G54" s="134"/>
      <x:c r="H54" s="128"/>
      <x:c r="I54" s="128"/>
      <x:c r="J54" s="134"/>
      <x:c r="K54" s="128"/>
      <x:c r="L54" s="128"/>
      <x:c r="M54" s="134"/>
      <x:c r="N54" s="128" t="n">
        <x:f>'기존안 과목내역'!I44</x:f>
        <x:v>3</x:v>
      </x:c>
      <x:c r="O54" s="128" t="n">
        <x:f>'기존안 과목내역'!J44</x:f>
        <x:v>9</x:v>
      </x:c>
      <x:c r="P54" s="134" t="n">
        <x:f>N54*O54</x:f>
        <x:v>27</x:v>
      </x:c>
      <x:c r="Q54" s="128" t="n">
        <x:f>'기존안 과목내역'!I22</x:f>
        <x:v>3</x:v>
      </x:c>
      <x:c r="R54" s="128" t="n">
        <x:f>'기존안 과목내역'!J22</x:f>
        <x:v>0</x:v>
      </x:c>
      <x:c r="S54" s="134" t="n">
        <x:f>Q54*R54</x:f>
        <x:v>0</x:v>
      </x:c>
      <x:c r="T54" s="128"/>
      <x:c r="U54" s="128"/>
      <x:c r="V54" s="137"/>
      <x:c r="W54" s="78"/>
      <x:c r="X54" s="78"/>
      <x:c r="Y54" s="78"/>
      <x:c r="Z54" s="78"/>
      <x:c r="AA54" s="78"/>
      <x:c r="AB54" s="78"/>
      <x:c r="AC54" s="78"/>
      <x:c r="AD54" s="78"/>
      <x:c r="AE54" s="78"/>
    </x:row>
    <x:row r="55" ht="24" customHeight="1">
      <x:c r="A55" s="78"/>
      <x:c r="B55" s="103"/>
      <x:c r="C55" s="104" t="str">
        <x:v>자체</x:v>
      </x:c>
      <x:c r="D55" s="81" t="str">
        <x:v>인문학과 윤리</x:v>
      </x:c>
      <x:c r="E55" s="127"/>
      <x:c r="F55" s="128"/>
      <x:c r="G55" s="134"/>
      <x:c r="H55" s="128"/>
      <x:c r="I55" s="128"/>
      <x:c r="J55" s="134"/>
      <x:c r="K55" s="128"/>
      <x:c r="L55" s="128"/>
      <x:c r="M55" s="134"/>
      <x:c r="N55" s="128"/>
      <x:c r="O55" s="128"/>
      <x:c r="P55" s="134"/>
      <x:c r="Q55" s="128" t="n">
        <x:f>'기존안 과목내역'!I23</x:f>
        <x:v>3</x:v>
      </x:c>
      <x:c r="R55" s="128" t="n">
        <x:f>'기존안 과목내역'!J23</x:f>
        <x:v>3</x:v>
      </x:c>
      <x:c r="S55" s="134" t="n">
        <x:f>Q55*R55</x:f>
        <x:v>9</x:v>
      </x:c>
      <x:c r="T55" s="128" t="n">
        <x:f>'기존안 과목내역'!I51</x:f>
        <x:v>3</x:v>
      </x:c>
      <x:c r="U55" s="128" t="n">
        <x:f>'기존안 과목내역'!J51</x:f>
        <x:v>4</x:v>
      </x:c>
      <x:c r="V55" s="137" t="n">
        <x:f>T55*U55</x:f>
        <x:v>12</x:v>
      </x:c>
      <x:c r="W55" s="78"/>
      <x:c r="X55" s="78"/>
      <x:c r="Y55" s="78"/>
      <x:c r="Z55" s="78"/>
      <x:c r="AA55" s="78"/>
      <x:c r="AB55" s="78"/>
      <x:c r="AC55" s="78"/>
      <x:c r="AD55" s="78"/>
      <x:c r="AE55" s="78"/>
    </x:row>
    <x:row r="56" ht="24" customHeight="1">
      <x:c r="A56" s="78"/>
      <x:c r="B56" s="103"/>
      <x:c r="C56" s="105" t="str">
        <x:v>통합</x:v>
      </x:c>
      <x:c r="D56" s="101" t="str">
        <x:v>통합사회1</x:v>
      </x:c>
      <x:c r="E56" s="127" t="n">
        <x:f>'기존안 과목내역'!I9</x:f>
        <x:v>4</x:v>
      </x:c>
      <x:c r="F56" s="128" t="n">
        <x:f>'공통융합 배정'!O10</x:f>
        <x:v>3</x:v>
      </x:c>
      <x:c r="G56" s="134" t="n">
        <x:f>'공통융합 배정'!P10</x:f>
        <x:v>12</x:v>
      </x:c>
      <x:c r="H56" s="128"/>
      <x:c r="I56" s="128"/>
      <x:c r="J56" s="134"/>
      <x:c r="K56" s="128"/>
      <x:c r="L56" s="128"/>
      <x:c r="M56" s="134"/>
      <x:c r="N56" s="128"/>
      <x:c r="O56" s="128"/>
      <x:c r="P56" s="134"/>
      <x:c r="Q56" s="128"/>
      <x:c r="R56" s="128"/>
      <x:c r="S56" s="134"/>
      <x:c r="T56" s="128"/>
      <x:c r="U56" s="128"/>
      <x:c r="V56" s="137"/>
      <x:c r="W56" s="78"/>
      <x:c r="X56" s="78"/>
      <x:c r="Y56" s="78"/>
      <x:c r="Z56" s="78"/>
      <x:c r="AA56" s="78"/>
      <x:c r="AB56" s="78"/>
      <x:c r="AC56" s="78"/>
      <x:c r="AD56" s="78"/>
      <x:c r="AE56" s="78"/>
    </x:row>
    <x:row r="57" ht="24" customHeight="1">
      <x:c r="A57" s="78"/>
      <x:c r="B57" s="103"/>
      <x:c r="C57" s="105" t="str">
        <x:v>융합</x:v>
      </x:c>
      <x:c r="D57" s="101" t="str">
        <x:v>금융과 경제생활</x:v>
      </x:c>
      <x:c r="E57" s="127"/>
      <x:c r="F57" s="128"/>
      <x:c r="G57" s="134"/>
      <x:c r="H57" s="128"/>
      <x:c r="I57" s="128"/>
      <x:c r="J57" s="134"/>
      <x:c r="K57" s="128"/>
      <x:c r="L57" s="128"/>
      <x:c r="M57" s="134"/>
      <x:c r="N57" s="128"/>
      <x:c r="O57" s="128"/>
      <x:c r="P57" s="134"/>
      <x:c r="Q57" s="128" t="n">
        <x:f>'기존안 과목내역'!I24</x:f>
        <x:v>3</x:v>
      </x:c>
      <x:c r="R57" s="128" t="n">
        <x:f>'공통융합 배정'!O11</x:f>
        <x:v>0</x:v>
      </x:c>
      <x:c r="S57" s="134" t="n">
        <x:f>'공통융합 배정'!P11</x:f>
        <x:v>0</x:v>
      </x:c>
      <x:c r="T57" s="128" t="n">
        <x:f>'기존안 과목내역'!I52</x:f>
        <x:v>3</x:v>
      </x:c>
      <x:c r="U57" s="128" t="n">
        <x:f>'공통융합 배정'!O18</x:f>
        <x:v>0</x:v>
      </x:c>
      <x:c r="V57" s="137" t="n">
        <x:f>'공통융합 배정'!P18</x:f>
        <x:v>0</x:v>
      </x:c>
      <x:c r="W57" s="78"/>
      <x:c r="X57" s="78"/>
      <x:c r="Y57" s="78"/>
      <x:c r="Z57" s="78"/>
      <x:c r="AA57" s="78"/>
      <x:c r="AB57" s="78"/>
      <x:c r="AC57" s="78"/>
      <x:c r="AD57" s="78"/>
      <x:c r="AE57" s="78"/>
    </x:row>
    <x:row r="58" ht="24" customHeight="1">
      <x:c r="A58" s="78"/>
      <x:c r="B58" s="103"/>
      <x:c r="C58" s="105" t="str">
        <x:v>융합</x:v>
      </x:c>
      <x:c r="D58" s="101" t="str">
        <x:v>기후변화와 지속가능한 세계</x:v>
      </x:c>
      <x:c r="E58" s="127"/>
      <x:c r="F58" s="128"/>
      <x:c r="G58" s="134"/>
      <x:c r="H58" s="128"/>
      <x:c r="I58" s="128"/>
      <x:c r="J58" s="134"/>
      <x:c r="K58" s="128"/>
      <x:c r="L58" s="128"/>
      <x:c r="M58" s="134"/>
      <x:c r="N58" s="128"/>
      <x:c r="O58" s="128"/>
      <x:c r="P58" s="134"/>
      <x:c r="Q58" s="128" t="n">
        <x:f>'기존안 과목내역'!I25</x:f>
        <x:v>3</x:v>
      </x:c>
      <x:c r="R58" s="128" t="n">
        <x:f>'공통융합 배정'!O12</x:f>
        <x:v>0</x:v>
      </x:c>
      <x:c r="S58" s="134" t="n">
        <x:f>'공통융합 배정'!P12</x:f>
        <x:v>0</x:v>
      </x:c>
      <x:c r="T58" s="128"/>
      <x:c r="U58" s="128"/>
      <x:c r="V58" s="137"/>
      <x:c r="W58" s="78"/>
      <x:c r="X58" s="78"/>
      <x:c r="Y58" s="78"/>
      <x:c r="Z58" s="78"/>
      <x:c r="AA58" s="78"/>
      <x:c r="AB58" s="78"/>
      <x:c r="AC58" s="78"/>
      <x:c r="AD58" s="78"/>
      <x:c r="AE58" s="78"/>
    </x:row>
    <x:row r="59" ht="24" customHeight="1">
      <x:c r="A59" s="78"/>
      <x:c r="B59" s="103"/>
      <x:c r="C59" s="105" t="str">
        <x:v>융합</x:v>
      </x:c>
      <x:c r="D59" s="101" t="str">
        <x:v>사회문제 탐구</x:v>
      </x:c>
      <x:c r="E59" s="127"/>
      <x:c r="F59" s="128"/>
      <x:c r="G59" s="134"/>
      <x:c r="H59" s="128"/>
      <x:c r="I59" s="128"/>
      <x:c r="J59" s="134"/>
      <x:c r="K59" s="128"/>
      <x:c r="L59" s="128"/>
      <x:c r="M59" s="134"/>
      <x:c r="N59" s="128"/>
      <x:c r="O59" s="128"/>
      <x:c r="P59" s="134"/>
      <x:c r="Q59" s="128" t="n">
        <x:f>'기존안 과목내역'!I26</x:f>
        <x:v>3</x:v>
      </x:c>
      <x:c r="R59" s="128" t="n">
        <x:f>'공통융합 배정'!O13</x:f>
        <x:v>0</x:v>
      </x:c>
      <x:c r="S59" s="134" t="n">
        <x:f>'공통융합 배정'!P13</x:f>
        <x:v>0</x:v>
      </x:c>
      <x:c r="T59" s="128" t="n">
        <x:f>'기존안 과목내역'!I53</x:f>
        <x:v>3</x:v>
      </x:c>
      <x:c r="U59" s="128" t="n">
        <x:f>'공통융합 배정'!O19</x:f>
        <x:v>0</x:v>
      </x:c>
      <x:c r="V59" s="137" t="n">
        <x:f>'공통융합 배정'!P19</x:f>
        <x:v>0</x:v>
      </x:c>
      <x:c r="W59" s="78"/>
      <x:c r="X59" s="78"/>
      <x:c r="Y59" s="78"/>
      <x:c r="Z59" s="78"/>
      <x:c r="AA59" s="78"/>
      <x:c r="AB59" s="78"/>
      <x:c r="AC59" s="78"/>
      <x:c r="AD59" s="78"/>
      <x:c r="AE59" s="78"/>
    </x:row>
    <x:row r="60" ht="24" customHeight="1">
      <x:c r="A60" s="78"/>
      <x:c r="B60" s="103"/>
      <x:c r="C60" s="105" t="str">
        <x:v>융합</x:v>
      </x:c>
      <x:c r="D60" s="101" t="str">
        <x:v>여행지리</x:v>
      </x:c>
      <x:c r="E60" s="127"/>
      <x:c r="F60" s="128"/>
      <x:c r="G60" s="134"/>
      <x:c r="H60" s="128"/>
      <x:c r="I60" s="128"/>
      <x:c r="J60" s="134"/>
      <x:c r="K60" s="128"/>
      <x:c r="L60" s="128"/>
      <x:c r="M60" s="134"/>
      <x:c r="N60" s="128"/>
      <x:c r="O60" s="128"/>
      <x:c r="P60" s="134"/>
      <x:c r="Q60" s="128" t="n">
        <x:f>'기존안 과목내역'!I27</x:f>
        <x:v>3</x:v>
      </x:c>
      <x:c r="R60" s="128" t="n">
        <x:f>'공통융합 배정'!O14</x:f>
        <x:v>0</x:v>
      </x:c>
      <x:c r="S60" s="134" t="n">
        <x:f>'공통융합 배정'!P14</x:f>
        <x:v>0</x:v>
      </x:c>
      <x:c r="T60" s="128" t="n">
        <x:f>'기존안 과목내역'!I54</x:f>
        <x:v>3</x:v>
      </x:c>
      <x:c r="U60" s="128" t="n">
        <x:f>'공통융합 배정'!O20</x:f>
        <x:v>0</x:v>
      </x:c>
      <x:c r="V60" s="137" t="n">
        <x:f>'공통융합 배정'!P20</x:f>
        <x:v>0</x:v>
      </x:c>
      <x:c r="W60" s="78"/>
      <x:c r="X60" s="78"/>
      <x:c r="Y60" s="78"/>
      <x:c r="Z60" s="78"/>
      <x:c r="AA60" s="78"/>
      <x:c r="AB60" s="78"/>
      <x:c r="AC60" s="78"/>
      <x:c r="AD60" s="78"/>
      <x:c r="AE60" s="78"/>
    </x:row>
    <x:row r="61" ht="24" customHeight="1">
      <x:c r="A61" s="78"/>
      <x:c r="B61" s="103"/>
      <x:c r="C61" s="105" t="str">
        <x:v>융합</x:v>
      </x:c>
      <x:c r="D61" s="101" t="str">
        <x:v>역사로 탐구하는 현대 세계</x:v>
      </x:c>
      <x:c r="E61" s="127"/>
      <x:c r="F61" s="128"/>
      <x:c r="G61" s="134"/>
      <x:c r="H61" s="128"/>
      <x:c r="I61" s="128"/>
      <x:c r="J61" s="134"/>
      <x:c r="K61" s="128"/>
      <x:c r="L61" s="128"/>
      <x:c r="M61" s="134"/>
      <x:c r="N61" s="128"/>
      <x:c r="O61" s="128"/>
      <x:c r="P61" s="134"/>
      <x:c r="Q61" s="128" t="n">
        <x:f>'기존안 과목내역'!I28</x:f>
        <x:v>3</x:v>
      </x:c>
      <x:c r="R61" s="128" t="n">
        <x:f>'공통융합 배정'!O15</x:f>
        <x:v>0</x:v>
      </x:c>
      <x:c r="S61" s="134" t="n">
        <x:f>'공통융합 배정'!P15</x:f>
        <x:v>0</x:v>
      </x:c>
      <x:c r="T61" s="128"/>
      <x:c r="U61" s="128"/>
      <x:c r="V61" s="137"/>
      <x:c r="W61" s="78"/>
      <x:c r="X61" s="78"/>
      <x:c r="Y61" s="78"/>
      <x:c r="Z61" s="78"/>
      <x:c r="AA61" s="78"/>
      <x:c r="AB61" s="78"/>
      <x:c r="AC61" s="78"/>
      <x:c r="AD61" s="78"/>
      <x:c r="AE61" s="78"/>
    </x:row>
    <x:row r="62" ht="24" customHeight="1">
      <x:c r="A62" s="78"/>
      <x:c r="B62" s="103"/>
      <x:c r="C62" s="105" t="str">
        <x:v>융합</x:v>
      </x:c>
      <x:c r="D62" s="101" t="str">
        <x:v>윤리문제 탐구</x:v>
      </x:c>
      <x:c r="E62" s="127"/>
      <x:c r="F62" s="128"/>
      <x:c r="G62" s="134"/>
      <x:c r="H62" s="128"/>
      <x:c r="I62" s="128"/>
      <x:c r="J62" s="134"/>
      <x:c r="K62" s="128"/>
      <x:c r="L62" s="128"/>
      <x:c r="M62" s="134"/>
      <x:c r="N62" s="128"/>
      <x:c r="O62" s="128"/>
      <x:c r="P62" s="134"/>
      <x:c r="Q62" s="128" t="n">
        <x:f>'기존안 과목내역'!I29</x:f>
        <x:v>3</x:v>
      </x:c>
      <x:c r="R62" s="128" t="n">
        <x:f>'공통융합 배정'!O16</x:f>
        <x:v>3</x:v>
      </x:c>
      <x:c r="S62" s="134" t="n">
        <x:f>'공통융합 배정'!P16</x:f>
        <x:v>9</x:v>
      </x:c>
      <x:c r="T62" s="128"/>
      <x:c r="U62" s="128"/>
      <x:c r="V62" s="137"/>
      <x:c r="W62" s="78"/>
      <x:c r="X62" s="78"/>
      <x:c r="Y62" s="78"/>
      <x:c r="Z62" s="78"/>
      <x:c r="AA62" s="78"/>
      <x:c r="AB62" s="78"/>
      <x:c r="AC62" s="78"/>
      <x:c r="AD62" s="78"/>
      <x:c r="AE62" s="78"/>
    </x:row>
    <x:row r="63" ht="24" customHeight="1">
      <x:c r="A63" s="78"/>
      <x:c r="B63" s="103"/>
      <x:c r="C63" s="105" t="str">
        <x:v>통합</x:v>
      </x:c>
      <x:c r="D63" s="101" t="str">
        <x:v>통합사회2</x:v>
      </x:c>
      <x:c r="E63" s="130"/>
      <x:c r="F63" s="131"/>
      <x:c r="G63" s="135"/>
      <x:c r="H63" s="131" t="n">
        <x:f>'기존안 과목내역'!I39</x:f>
        <x:v>4</x:v>
      </x:c>
      <x:c r="I63" s="131" t="n">
        <x:f>'공통융합 배정'!O17</x:f>
        <x:v>4</x:v>
      </x:c>
      <x:c r="J63" s="135" t="n">
        <x:f>'공통융합 배정'!P17</x:f>
        <x:v>16</x:v>
      </x:c>
      <x:c r="K63" s="131"/>
      <x:c r="L63" s="131"/>
      <x:c r="M63" s="135"/>
      <x:c r="N63" s="131"/>
      <x:c r="O63" s="131"/>
      <x:c r="P63" s="135"/>
      <x:c r="Q63" s="131"/>
      <x:c r="R63" s="131"/>
      <x:c r="S63" s="135"/>
      <x:c r="T63" s="131"/>
      <x:c r="U63" s="131"/>
      <x:c r="V63" s="138"/>
      <x:c r="W63" s="78"/>
      <x:c r="X63" s="78"/>
      <x:c r="Y63" s="78"/>
      <x:c r="Z63" s="78"/>
      <x:c r="AA63" s="78"/>
      <x:c r="AB63" s="78"/>
      <x:c r="AC63" s="78"/>
      <x:c r="AD63" s="78"/>
      <x:c r="AE63" s="78"/>
    </x:row>
    <x:row r="64" ht="30" customHeight="1">
      <x:c r="A64" s="78"/>
      <x:c r="B64" s="141" t="str">
        <x:v>물리학 합계</x:v>
      </x:c>
      <x:c r="C64" s="141"/>
      <x:c r="D64" s="141"/>
      <x:c r="E64" s="141"/>
      <x:c r="F64" s="141"/>
      <x:c r="G64" s="141" t="n">
        <x:f>SUM(G68,G69)</x:f>
        <x:v>6</x:v>
      </x:c>
      <x:c r="H64" s="141"/>
      <x:c r="I64" s="141"/>
      <x:c r="J64" s="141" t="n">
        <x:f>SUM(J70,J71)</x:f>
        <x:v>15</x:v>
      </x:c>
      <x:c r="K64" s="141"/>
      <x:c r="L64" s="141"/>
      <x:c r="M64" s="141" t="n">
        <x:f>SUM(M65)</x:f>
        <x:v>15</x:v>
      </x:c>
      <x:c r="N64" s="141"/>
      <x:c r="O64" s="141"/>
      <x:c r="P64" s="141" t="n">
        <x:f>SUM(P66)</x:f>
        <x:v>12</x:v>
      </x:c>
      <x:c r="Q64" s="141"/>
      <x:c r="R64" s="141"/>
      <x:c r="S64" s="141" t="n">
        <x:f>SUM(S66,S67)</x:f>
        <x:v>12</x:v>
      </x:c>
      <x:c r="T64" s="141"/>
      <x:c r="U64" s="141"/>
      <x:c r="V64" s="141" t="n">
        <x:f>SUM(V67,V72,V73,V74)</x:f>
        <x:v>9</x:v>
      </x:c>
      <x:c r="W64" s="141" t="n">
        <x:f>IF(ISNUMBER('산정근거'!C14),'산정근거'!C14,"미정")</x:f>
        <x:v>2</x:v>
      </x:c>
      <x:c r="X64" s="143" t="n">
        <x:f>SUM(M65,S66,S67)</x:f>
        <x:v>27</x:v>
      </x:c>
      <x:c r="Y64" s="143" t="n">
        <x:f>SUM(G68,G69)</x:f>
        <x:v>6</x:v>
      </x:c>
      <x:c r="Z64" s="143" t="n">
        <x:f>X64+Y64</x:f>
        <x:v>33</x:v>
      </x:c>
      <x:c r="AA64" s="144" t="n">
        <x:f>IF(OR(NOT(ISNUMBER(W64)),W64&lt;=0),"미정",Z64/W64)</x:f>
        <x:v>16.5</x:v>
      </x:c>
      <x:c r="AB64" s="143" t="n">
        <x:f>SUM(P66,V67)</x:f>
        <x:v>12</x:v>
      </x:c>
      <x:c r="AC64" s="143" t="n">
        <x:f>SUM(J70,J71,V72,V73,V74)</x:f>
        <x:v>24</x:v>
      </x:c>
      <x:c r="AD64" s="143" t="n">
        <x:f>AB64+AC64</x:f>
        <x:v>36</x:v>
      </x:c>
      <x:c r="AE64" s="144" t="n">
        <x:f>IF(OR(NOT(ISNUMBER(W64)),W64&lt;=0),"미정",AD64/W64)</x:f>
        <x:v>18</x:v>
      </x:c>
    </x:row>
    <x:row r="65" ht="24" customHeight="1">
      <x:c r="A65" s="78"/>
      <x:c r="B65" s="103" t="str">
        <x:v>물리</x:v>
      </x:c>
      <x:c r="C65" s="104" t="str">
        <x:v>자체</x:v>
      </x:c>
      <x:c r="D65" s="81" t="str">
        <x:v>물리학</x:v>
      </x:c>
      <x:c r="E65" s="124"/>
      <x:c r="F65" s="125"/>
      <x:c r="G65" s="133"/>
      <x:c r="H65" s="125"/>
      <x:c r="I65" s="125"/>
      <x:c r="J65" s="133"/>
      <x:c r="K65" s="125" t="n">
        <x:f>'기존안 과목내역'!I16</x:f>
        <x:v>3</x:v>
      </x:c>
      <x:c r="L65" s="125" t="n">
        <x:f>'기존안 과목내역'!J16</x:f>
        <x:v>5</x:v>
      </x:c>
      <x:c r="M65" s="133" t="n">
        <x:f>K65*L65</x:f>
        <x:v>15</x:v>
      </x:c>
      <x:c r="N65" s="125"/>
      <x:c r="O65" s="125"/>
      <x:c r="P65" s="133"/>
      <x:c r="Q65" s="125"/>
      <x:c r="R65" s="125"/>
      <x:c r="S65" s="133"/>
      <x:c r="T65" s="125"/>
      <x:c r="U65" s="125"/>
      <x:c r="V65" s="136"/>
      <x:c r="W65" s="78"/>
      <x:c r="X65" s="78"/>
      <x:c r="Y65" s="78"/>
      <x:c r="Z65" s="78"/>
      <x:c r="AA65" s="78"/>
      <x:c r="AB65" s="78"/>
      <x:c r="AC65" s="78"/>
      <x:c r="AD65" s="78"/>
      <x:c r="AE65" s="78"/>
    </x:row>
    <x:row r="66" ht="24" customHeight="1">
      <x:c r="A66" s="78"/>
      <x:c r="B66" s="103"/>
      <x:c r="C66" s="104" t="str">
        <x:v>자체</x:v>
      </x:c>
      <x:c r="D66" s="81" t="str">
        <x:v>역학과 에너지</x:v>
      </x:c>
      <x:c r="E66" s="127"/>
      <x:c r="F66" s="128"/>
      <x:c r="G66" s="134"/>
      <x:c r="H66" s="128"/>
      <x:c r="I66" s="128"/>
      <x:c r="J66" s="134"/>
      <x:c r="K66" s="128"/>
      <x:c r="L66" s="128"/>
      <x:c r="M66" s="134"/>
      <x:c r="N66" s="128" t="n">
        <x:f>'기존안 과목내역'!I49</x:f>
        <x:v>3</x:v>
      </x:c>
      <x:c r="O66" s="128" t="n">
        <x:f>'기존안 과목내역'!J49</x:f>
        <x:v>4</x:v>
      </x:c>
      <x:c r="P66" s="134" t="n">
        <x:f>N66*O66</x:f>
        <x:v>12</x:v>
      </x:c>
      <x:c r="Q66" s="128" t="n">
        <x:f>'기존안 과목내역'!I33</x:f>
        <x:v>3</x:v>
      </x:c>
      <x:c r="R66" s="128" t="n">
        <x:f>'기존안 과목내역'!J33</x:f>
        <x:v>2</x:v>
      </x:c>
      <x:c r="S66" s="134" t="n">
        <x:f>Q66*R66</x:f>
        <x:v>6</x:v>
      </x:c>
      <x:c r="T66" s="128"/>
      <x:c r="U66" s="128"/>
      <x:c r="V66" s="137"/>
      <x:c r="W66" s="78"/>
      <x:c r="X66" s="78"/>
      <x:c r="Y66" s="78"/>
      <x:c r="Z66" s="78"/>
      <x:c r="AA66" s="78"/>
      <x:c r="AB66" s="78"/>
      <x:c r="AC66" s="78"/>
      <x:c r="AD66" s="78"/>
      <x:c r="AE66" s="78"/>
    </x:row>
    <x:row r="67" ht="24" customHeight="1">
      <x:c r="A67" s="78"/>
      <x:c r="B67" s="103"/>
      <x:c r="C67" s="104" t="str">
        <x:v>자체</x:v>
      </x:c>
      <x:c r="D67" s="81" t="str">
        <x:v>전자기와 양자</x:v>
      </x:c>
      <x:c r="E67" s="127"/>
      <x:c r="F67" s="128"/>
      <x:c r="G67" s="134"/>
      <x:c r="H67" s="128"/>
      <x:c r="I67" s="128"/>
      <x:c r="J67" s="134"/>
      <x:c r="K67" s="128"/>
      <x:c r="L67" s="128"/>
      <x:c r="M67" s="134"/>
      <x:c r="N67" s="128"/>
      <x:c r="O67" s="128"/>
      <x:c r="P67" s="134"/>
      <x:c r="Q67" s="128" t="n">
        <x:f>'기존안 과목내역'!I34</x:f>
        <x:v>3</x:v>
      </x:c>
      <x:c r="R67" s="128" t="n">
        <x:f>'기존안 과목내역'!J34</x:f>
        <x:v>2</x:v>
      </x:c>
      <x:c r="S67" s="134" t="n">
        <x:f>Q67*R67</x:f>
        <x:v>6</x:v>
      </x:c>
      <x:c r="T67" s="128" t="n">
        <x:f>'기존안 과목내역'!I57</x:f>
        <x:v>3</x:v>
      </x:c>
      <x:c r="U67" s="128" t="n">
        <x:f>'기존안 과목내역'!J57</x:f>
        <x:v>0</x:v>
      </x:c>
      <x:c r="V67" s="137" t="n">
        <x:f>T67*U67</x:f>
        <x:v>0</x:v>
      </x:c>
      <x:c r="W67" s="78"/>
      <x:c r="X67" s="78"/>
      <x:c r="Y67" s="78"/>
      <x:c r="Z67" s="78"/>
      <x:c r="AA67" s="78"/>
      <x:c r="AB67" s="78"/>
      <x:c r="AC67" s="78"/>
      <x:c r="AD67" s="78"/>
      <x:c r="AE67" s="78"/>
    </x:row>
    <x:row r="68" ht="24" customHeight="1">
      <x:c r="A68" s="78"/>
      <x:c r="B68" s="103"/>
      <x:c r="C68" s="105" t="str">
        <x:v>통합</x:v>
      </x:c>
      <x:c r="D68" s="101" t="str">
        <x:v>통합과학1</x:v>
      </x:c>
      <x:c r="E68" s="127" t="n">
        <x:f>'기존안 과목내역'!I10</x:f>
        <x:v>4</x:v>
      </x:c>
      <x:c r="F68" s="128" t="n">
        <x:f>'공통융합 배정'!I41</x:f>
        <x:v>1</x:v>
      </x:c>
      <x:c r="G68" s="134" t="n">
        <x:f>'공통융합 배정'!J41</x:f>
        <x:v>4</x:v>
      </x:c>
      <x:c r="H68" s="128"/>
      <x:c r="I68" s="128"/>
      <x:c r="J68" s="134"/>
      <x:c r="K68" s="128"/>
      <x:c r="L68" s="128"/>
      <x:c r="M68" s="134"/>
      <x:c r="N68" s="128"/>
      <x:c r="O68" s="128"/>
      <x:c r="P68" s="134"/>
      <x:c r="Q68" s="128"/>
      <x:c r="R68" s="128"/>
      <x:c r="S68" s="134"/>
      <x:c r="T68" s="128"/>
      <x:c r="U68" s="128"/>
      <x:c r="V68" s="137"/>
      <x:c r="W68" s="78"/>
      <x:c r="X68" s="78"/>
      <x:c r="Y68" s="78"/>
      <x:c r="Z68" s="78"/>
      <x:c r="AA68" s="78"/>
      <x:c r="AB68" s="78"/>
      <x:c r="AC68" s="78"/>
      <x:c r="AD68" s="78"/>
      <x:c r="AE68" s="78"/>
    </x:row>
    <x:row r="69" ht="24" customHeight="1">
      <x:c r="A69" s="78"/>
      <x:c r="B69" s="103"/>
      <x:c r="C69" s="105" t="str">
        <x:v>실험</x:v>
      </x:c>
      <x:c r="D69" s="101" t="str">
        <x:v>과학탐구실험1</x:v>
      </x:c>
      <x:c r="E69" s="127" t="n">
        <x:f>'기존안 과목내역'!I11</x:f>
        <x:v>1</x:v>
      </x:c>
      <x:c r="F69" s="128" t="n">
        <x:f>'공통융합 배정'!I42</x:f>
        <x:v>2</x:v>
      </x:c>
      <x:c r="G69" s="134" t="n">
        <x:f>'공통융합 배정'!J42</x:f>
        <x:v>2</x:v>
      </x:c>
      <x:c r="H69" s="128"/>
      <x:c r="I69" s="128"/>
      <x:c r="J69" s="134"/>
      <x:c r="K69" s="128"/>
      <x:c r="L69" s="128"/>
      <x:c r="M69" s="134"/>
      <x:c r="N69" s="128"/>
      <x:c r="O69" s="128"/>
      <x:c r="P69" s="134"/>
      <x:c r="Q69" s="128"/>
      <x:c r="R69" s="128"/>
      <x:c r="S69" s="134"/>
      <x:c r="T69" s="128"/>
      <x:c r="U69" s="128"/>
      <x:c r="V69" s="137"/>
      <x:c r="W69" s="78"/>
      <x:c r="X69" s="78"/>
      <x:c r="Y69" s="78"/>
      <x:c r="Z69" s="78"/>
      <x:c r="AA69" s="78"/>
      <x:c r="AB69" s="78"/>
      <x:c r="AC69" s="78"/>
      <x:c r="AD69" s="78"/>
      <x:c r="AE69" s="78"/>
    </x:row>
    <x:row r="70" ht="24" customHeight="1">
      <x:c r="A70" s="78"/>
      <x:c r="B70" s="103"/>
      <x:c r="C70" s="105" t="str">
        <x:v>통합</x:v>
      </x:c>
      <x:c r="D70" s="101" t="str">
        <x:v>통합과학2</x:v>
      </x:c>
      <x:c r="E70" s="127"/>
      <x:c r="F70" s="128"/>
      <x:c r="G70" s="134"/>
      <x:c r="H70" s="128" t="n">
        <x:f>'기존안 과목내역'!I40</x:f>
        <x:v>4</x:v>
      </x:c>
      <x:c r="I70" s="128" t="n">
        <x:f>'공통융합 배정'!I43</x:f>
        <x:v>3</x:v>
      </x:c>
      <x:c r="J70" s="134" t="n">
        <x:f>'공통융합 배정'!J43</x:f>
        <x:v>12</x:v>
      </x:c>
      <x:c r="K70" s="128"/>
      <x:c r="L70" s="128"/>
      <x:c r="M70" s="134"/>
      <x:c r="N70" s="128"/>
      <x:c r="O70" s="128"/>
      <x:c r="P70" s="134"/>
      <x:c r="Q70" s="128"/>
      <x:c r="R70" s="128"/>
      <x:c r="S70" s="134"/>
      <x:c r="T70" s="128"/>
      <x:c r="U70" s="128"/>
      <x:c r="V70" s="137"/>
      <x:c r="W70" s="78"/>
      <x:c r="X70" s="78"/>
      <x:c r="Y70" s="78"/>
      <x:c r="Z70" s="78"/>
      <x:c r="AA70" s="78"/>
      <x:c r="AB70" s="78"/>
      <x:c r="AC70" s="78"/>
      <x:c r="AD70" s="78"/>
      <x:c r="AE70" s="78"/>
    </x:row>
    <x:row r="71" ht="24" customHeight="1">
      <x:c r="A71" s="78"/>
      <x:c r="B71" s="103"/>
      <x:c r="C71" s="105" t="str">
        <x:v>실험</x:v>
      </x:c>
      <x:c r="D71" s="101" t="str">
        <x:v>과학탐구실험2</x:v>
      </x:c>
      <x:c r="E71" s="127"/>
      <x:c r="F71" s="128"/>
      <x:c r="G71" s="134"/>
      <x:c r="H71" s="128" t="n">
        <x:f>'기존안 과목내역'!I41</x:f>
        <x:v>1</x:v>
      </x:c>
      <x:c r="I71" s="128" t="n">
        <x:f>'공통융합 배정'!I44</x:f>
        <x:v>3</x:v>
      </x:c>
      <x:c r="J71" s="134" t="n">
        <x:f>'공통융합 배정'!J44</x:f>
        <x:v>3</x:v>
      </x:c>
      <x:c r="K71" s="128"/>
      <x:c r="L71" s="128"/>
      <x:c r="M71" s="134"/>
      <x:c r="N71" s="128"/>
      <x:c r="O71" s="128"/>
      <x:c r="P71" s="134"/>
      <x:c r="Q71" s="128"/>
      <x:c r="R71" s="128"/>
      <x:c r="S71" s="134"/>
      <x:c r="T71" s="128"/>
      <x:c r="U71" s="128"/>
      <x:c r="V71" s="137"/>
      <x:c r="W71" s="78"/>
      <x:c r="X71" s="78"/>
      <x:c r="Y71" s="78"/>
      <x:c r="Z71" s="78"/>
      <x:c r="AA71" s="78"/>
      <x:c r="AB71" s="78"/>
      <x:c r="AC71" s="78"/>
      <x:c r="AD71" s="78"/>
      <x:c r="AE71" s="78"/>
    </x:row>
    <x:row r="72" ht="24" customHeight="1">
      <x:c r="A72" s="78"/>
      <x:c r="B72" s="103"/>
      <x:c r="C72" s="105" t="str">
        <x:v>융합</x:v>
      </x:c>
      <x:c r="D72" s="101" t="str">
        <x:v>과학의 역사와 문화</x:v>
      </x:c>
      <x:c r="E72" s="127"/>
      <x:c r="F72" s="128"/>
      <x:c r="G72" s="134"/>
      <x:c r="H72" s="128"/>
      <x:c r="I72" s="128"/>
      <x:c r="J72" s="134"/>
      <x:c r="K72" s="128"/>
      <x:c r="L72" s="128"/>
      <x:c r="M72" s="134"/>
      <x:c r="N72" s="128"/>
      <x:c r="O72" s="128"/>
      <x:c r="P72" s="134"/>
      <x:c r="Q72" s="128"/>
      <x:c r="R72" s="128"/>
      <x:c r="S72" s="134"/>
      <x:c r="T72" s="128" t="n">
        <x:f>'기존안 과목내역'!I59</x:f>
        <x:v>3</x:v>
      </x:c>
      <x:c r="U72" s="128" t="n">
        <x:f>'공통융합 배정'!I45</x:f>
        <x:v>2</x:v>
      </x:c>
      <x:c r="V72" s="137" t="n">
        <x:f>'공통융합 배정'!J45</x:f>
        <x:v>6</x:v>
      </x:c>
      <x:c r="W72" s="78"/>
      <x:c r="X72" s="78"/>
      <x:c r="Y72" s="78"/>
      <x:c r="Z72" s="78"/>
      <x:c r="AA72" s="78"/>
      <x:c r="AB72" s="78"/>
      <x:c r="AC72" s="78"/>
      <x:c r="AD72" s="78"/>
      <x:c r="AE72" s="78"/>
    </x:row>
    <x:row r="73" ht="24" customHeight="1">
      <x:c r="A73" s="78"/>
      <x:c r="B73" s="103"/>
      <x:c r="C73" s="105" t="str">
        <x:v>융합</x:v>
      </x:c>
      <x:c r="D73" s="101" t="str">
        <x:v>기후변화와 환경생태</x:v>
      </x:c>
      <x:c r="E73" s="127"/>
      <x:c r="F73" s="128"/>
      <x:c r="G73" s="134"/>
      <x:c r="H73" s="128"/>
      <x:c r="I73" s="128"/>
      <x:c r="J73" s="134"/>
      <x:c r="K73" s="128"/>
      <x:c r="L73" s="128"/>
      <x:c r="M73" s="134"/>
      <x:c r="N73" s="128"/>
      <x:c r="O73" s="128"/>
      <x:c r="P73" s="134"/>
      <x:c r="Q73" s="128"/>
      <x:c r="R73" s="128"/>
      <x:c r="S73" s="134"/>
      <x:c r="T73" s="128" t="n">
        <x:f>'기존안 과목내역'!I60</x:f>
        <x:v>3</x:v>
      </x:c>
      <x:c r="U73" s="128" t="n">
        <x:f>'공통융합 배정'!I46</x:f>
        <x:v>0</x:v>
      </x:c>
      <x:c r="V73" s="137" t="n">
        <x:f>'공통융합 배정'!J46</x:f>
        <x:v>0</x:v>
      </x:c>
      <x:c r="W73" s="78"/>
      <x:c r="X73" s="78"/>
      <x:c r="Y73" s="78"/>
      <x:c r="Z73" s="78"/>
      <x:c r="AA73" s="78"/>
      <x:c r="AB73" s="78"/>
      <x:c r="AC73" s="78"/>
      <x:c r="AD73" s="78"/>
      <x:c r="AE73" s="78"/>
    </x:row>
    <x:row r="74" ht="24" customHeight="1">
      <x:c r="A74" s="78"/>
      <x:c r="B74" s="103"/>
      <x:c r="C74" s="105" t="str">
        <x:v>융합</x:v>
      </x:c>
      <x:c r="D74" s="101" t="str">
        <x:v>융합과학 탐구</x:v>
      </x:c>
      <x:c r="E74" s="130"/>
      <x:c r="F74" s="131"/>
      <x:c r="G74" s="135"/>
      <x:c r="H74" s="131"/>
      <x:c r="I74" s="131"/>
      <x:c r="J74" s="135"/>
      <x:c r="K74" s="131"/>
      <x:c r="L74" s="131"/>
      <x:c r="M74" s="135"/>
      <x:c r="N74" s="131"/>
      <x:c r="O74" s="131"/>
      <x:c r="P74" s="135"/>
      <x:c r="Q74" s="131"/>
      <x:c r="R74" s="131"/>
      <x:c r="S74" s="135"/>
      <x:c r="T74" s="131" t="n">
        <x:f>'기존안 과목내역'!I61</x:f>
        <x:v>3</x:v>
      </x:c>
      <x:c r="U74" s="131" t="n">
        <x:f>'공통융합 배정'!I47</x:f>
        <x:v>1</x:v>
      </x:c>
      <x:c r="V74" s="138" t="n">
        <x:f>'공통융합 배정'!J47</x:f>
        <x:v>3</x:v>
      </x:c>
      <x:c r="W74" s="78"/>
      <x:c r="X74" s="78"/>
      <x:c r="Y74" s="78"/>
      <x:c r="Z74" s="78"/>
      <x:c r="AA74" s="78"/>
      <x:c r="AB74" s="78"/>
      <x:c r="AC74" s="78"/>
      <x:c r="AD74" s="78"/>
      <x:c r="AE74" s="78"/>
    </x:row>
    <x:row r="75" ht="30" customHeight="1">
      <x:c r="A75" s="78"/>
      <x:c r="B75" s="141" t="str">
        <x:v>화학 합계</x:v>
      </x:c>
      <x:c r="C75" s="141"/>
      <x:c r="D75" s="141"/>
      <x:c r="E75" s="141"/>
      <x:c r="F75" s="141"/>
      <x:c r="G75" s="141" t="n">
        <x:f>SUM(G79,G80)</x:f>
        <x:v>0</x:v>
      </x:c>
      <x:c r="H75" s="141"/>
      <x:c r="I75" s="141"/>
      <x:c r="J75" s="141" t="n">
        <x:f>SUM(J81,J82)</x:f>
        <x:v>38</x:v>
      </x:c>
      <x:c r="K75" s="141"/>
      <x:c r="L75" s="141"/>
      <x:c r="M75" s="141" t="n">
        <x:f>SUM(M76)</x:f>
        <x:v>18</x:v>
      </x:c>
      <x:c r="N75" s="141"/>
      <x:c r="O75" s="141"/>
      <x:c r="P75" s="141" t="n">
        <x:f>0</x:f>
        <x:v>0</x:v>
      </x:c>
      <x:c r="Q75" s="141"/>
      <x:c r="R75" s="141"/>
      <x:c r="S75" s="141" t="n">
        <x:f>SUM(S77,S78)</x:f>
        <x:v>39</x:v>
      </x:c>
      <x:c r="T75" s="141"/>
      <x:c r="U75" s="141"/>
      <x:c r="V75" s="141" t="n">
        <x:f>SUM(V77,V83,V84,V85)</x:f>
        <x:v>15</x:v>
      </x:c>
      <x:c r="W75" s="141" t="n">
        <x:f>IF(ISNUMBER('산정근거'!C15),'산정근거'!C15,"미정")</x:f>
        <x:v>3</x:v>
      </x:c>
      <x:c r="X75" s="143" t="n">
        <x:f>SUM(M76,S77,S78)</x:f>
        <x:v>57</x:v>
      </x:c>
      <x:c r="Y75" s="143" t="n">
        <x:f>SUM(G79,G80)</x:f>
        <x:v>0</x:v>
      </x:c>
      <x:c r="Z75" s="143" t="n">
        <x:f>X75+Y75</x:f>
        <x:v>57</x:v>
      </x:c>
      <x:c r="AA75" s="144" t="n">
        <x:f>IF(OR(NOT(ISNUMBER(W75)),W75&lt;=0),"미정",Z75/W75)</x:f>
        <x:v>19</x:v>
      </x:c>
      <x:c r="AB75" s="143" t="n">
        <x:f>SUM(V77)</x:f>
        <x:v>0</x:v>
      </x:c>
      <x:c r="AC75" s="143" t="n">
        <x:f>SUM(J81,J82,V83,V84,V85)</x:f>
        <x:v>53</x:v>
      </x:c>
      <x:c r="AD75" s="143" t="n">
        <x:f>AB75+AC75</x:f>
        <x:v>53</x:v>
      </x:c>
      <x:c r="AE75" s="144" t="n">
        <x:f>IF(OR(NOT(ISNUMBER(W75)),W75&lt;=0),"미정",AD75/W75)</x:f>
        <x:v>17.666666666666668</x:v>
      </x:c>
    </x:row>
    <x:row r="76" ht="24" customHeight="1">
      <x:c r="A76" s="78"/>
      <x:c r="B76" s="103" t="str">
        <x:v>화학</x:v>
      </x:c>
      <x:c r="C76" s="104" t="str">
        <x:v>자체</x:v>
      </x:c>
      <x:c r="D76" s="81" t="str">
        <x:v>화학</x:v>
      </x:c>
      <x:c r="E76" s="124"/>
      <x:c r="F76" s="125"/>
      <x:c r="G76" s="133"/>
      <x:c r="H76" s="125"/>
      <x:c r="I76" s="125"/>
      <x:c r="J76" s="133"/>
      <x:c r="K76" s="125" t="n">
        <x:f>'기존안 과목내역'!I18</x:f>
        <x:v>3</x:v>
      </x:c>
      <x:c r="L76" s="125" t="n">
        <x:f>'기존안 과목내역'!J18</x:f>
        <x:v>6</x:v>
      </x:c>
      <x:c r="M76" s="133" t="n">
        <x:f>K76*L76</x:f>
        <x:v>18</x:v>
      </x:c>
      <x:c r="N76" s="125"/>
      <x:c r="O76" s="125"/>
      <x:c r="P76" s="133"/>
      <x:c r="Q76" s="125"/>
      <x:c r="R76" s="125"/>
      <x:c r="S76" s="133"/>
      <x:c r="T76" s="125"/>
      <x:c r="U76" s="125"/>
      <x:c r="V76" s="136"/>
      <x:c r="W76" s="78"/>
      <x:c r="X76" s="78"/>
      <x:c r="Y76" s="78"/>
      <x:c r="Z76" s="78"/>
      <x:c r="AA76" s="78"/>
      <x:c r="AB76" s="78"/>
      <x:c r="AC76" s="78"/>
      <x:c r="AD76" s="78"/>
      <x:c r="AE76" s="78"/>
    </x:row>
    <x:row r="77" ht="24" customHeight="1">
      <x:c r="A77" s="78"/>
      <x:c r="B77" s="103"/>
      <x:c r="C77" s="104" t="str">
        <x:v>자체</x:v>
      </x:c>
      <x:c r="D77" s="81" t="str">
        <x:v>물질과 에너지</x:v>
      </x:c>
      <x:c r="E77" s="127"/>
      <x:c r="F77" s="128"/>
      <x:c r="G77" s="134"/>
      <x:c r="H77" s="128"/>
      <x:c r="I77" s="128"/>
      <x:c r="J77" s="134"/>
      <x:c r="K77" s="128"/>
      <x:c r="L77" s="128"/>
      <x:c r="M77" s="134"/>
      <x:c r="N77" s="128"/>
      <x:c r="O77" s="128"/>
      <x:c r="P77" s="134"/>
      <x:c r="Q77" s="128" t="n">
        <x:f>'기존안 과목내역'!I30</x:f>
        <x:v>3</x:v>
      </x:c>
      <x:c r="R77" s="128" t="n">
        <x:f>'기존안 과목내역'!J30</x:f>
        <x:v>6</x:v>
      </x:c>
      <x:c r="S77" s="134" t="n">
        <x:f>Q77*R77</x:f>
        <x:v>18</x:v>
      </x:c>
      <x:c r="T77" s="128" t="n">
        <x:f>'기존안 과목내역'!I55</x:f>
        <x:v>3</x:v>
      </x:c>
      <x:c r="U77" s="128" t="n">
        <x:f>'기존안 과목내역'!J55</x:f>
        <x:v>0</x:v>
      </x:c>
      <x:c r="V77" s="137" t="n">
        <x:f>T77*U77</x:f>
        <x:v>0</x:v>
      </x:c>
      <x:c r="W77" s="78"/>
      <x:c r="X77" s="78"/>
      <x:c r="Y77" s="78"/>
      <x:c r="Z77" s="78"/>
      <x:c r="AA77" s="78"/>
      <x:c r="AB77" s="78"/>
      <x:c r="AC77" s="78"/>
      <x:c r="AD77" s="78"/>
      <x:c r="AE77" s="78"/>
    </x:row>
    <x:row r="78" ht="24" customHeight="1">
      <x:c r="A78" s="78"/>
      <x:c r="B78" s="103"/>
      <x:c r="C78" s="104" t="str">
        <x:v>자체</x:v>
      </x:c>
      <x:c r="D78" s="81" t="str">
        <x:v>화학 반응의 세계</x:v>
      </x:c>
      <x:c r="E78" s="127"/>
      <x:c r="F78" s="128"/>
      <x:c r="G78" s="134"/>
      <x:c r="H78" s="128"/>
      <x:c r="I78" s="128"/>
      <x:c r="J78" s="134"/>
      <x:c r="K78" s="128"/>
      <x:c r="L78" s="128"/>
      <x:c r="M78" s="134"/>
      <x:c r="N78" s="128"/>
      <x:c r="O78" s="128"/>
      <x:c r="P78" s="134"/>
      <x:c r="Q78" s="128" t="n">
        <x:f>'기존안 과목내역'!I37</x:f>
        <x:v>3</x:v>
      </x:c>
      <x:c r="R78" s="128" t="n">
        <x:f>'기존안 과목내역'!J37</x:f>
        <x:v>7</x:v>
      </x:c>
      <x:c r="S78" s="134" t="n">
        <x:f>Q78*R78</x:f>
        <x:v>21</x:v>
      </x:c>
      <x:c r="T78" s="128"/>
      <x:c r="U78" s="128"/>
      <x:c r="V78" s="137"/>
      <x:c r="W78" s="78"/>
      <x:c r="X78" s="78"/>
      <x:c r="Y78" s="78"/>
      <x:c r="Z78" s="78"/>
      <x:c r="AA78" s="78"/>
      <x:c r="AB78" s="78"/>
      <x:c r="AC78" s="78"/>
      <x:c r="AD78" s="78"/>
      <x:c r="AE78" s="78"/>
    </x:row>
    <x:row r="79" ht="24" customHeight="1">
      <x:c r="A79" s="78"/>
      <x:c r="B79" s="103"/>
      <x:c r="C79" s="105" t="str">
        <x:v>통합</x:v>
      </x:c>
      <x:c r="D79" s="101" t="str">
        <x:v>통합과학1</x:v>
      </x:c>
      <x:c r="E79" s="127" t="n">
        <x:f>'기존안 과목내역'!I10</x:f>
        <x:v>4</x:v>
      </x:c>
      <x:c r="F79" s="128" t="n">
        <x:f>'공통융합 배정'!K41</x:f>
        <x:v>0</x:v>
      </x:c>
      <x:c r="G79" s="134" t="n">
        <x:f>'공통융합 배정'!L41</x:f>
        <x:v>0</x:v>
      </x:c>
      <x:c r="H79" s="128"/>
      <x:c r="I79" s="128"/>
      <x:c r="J79" s="134"/>
      <x:c r="K79" s="128"/>
      <x:c r="L79" s="128"/>
      <x:c r="M79" s="134"/>
      <x:c r="N79" s="128"/>
      <x:c r="O79" s="128"/>
      <x:c r="P79" s="134"/>
      <x:c r="Q79" s="128"/>
      <x:c r="R79" s="128"/>
      <x:c r="S79" s="134"/>
      <x:c r="T79" s="128"/>
      <x:c r="U79" s="128"/>
      <x:c r="V79" s="137"/>
      <x:c r="W79" s="78"/>
      <x:c r="X79" s="78"/>
      <x:c r="Y79" s="78"/>
      <x:c r="Z79" s="78"/>
      <x:c r="AA79" s="78"/>
      <x:c r="AB79" s="78"/>
      <x:c r="AC79" s="78"/>
      <x:c r="AD79" s="78"/>
      <x:c r="AE79" s="78"/>
    </x:row>
    <x:row r="80" ht="24" customHeight="1">
      <x:c r="A80" s="78"/>
      <x:c r="B80" s="103"/>
      <x:c r="C80" s="105" t="str">
        <x:v>실험</x:v>
      </x:c>
      <x:c r="D80" s="101" t="str">
        <x:v>과학탐구실험1</x:v>
      </x:c>
      <x:c r="E80" s="127" t="n">
        <x:f>'기존안 과목내역'!I11</x:f>
        <x:v>1</x:v>
      </x:c>
      <x:c r="F80" s="128" t="n">
        <x:f>'공통융합 배정'!K42</x:f>
        <x:v>0</x:v>
      </x:c>
      <x:c r="G80" s="134" t="n">
        <x:f>'공통융합 배정'!L42</x:f>
        <x:v>0</x:v>
      </x:c>
      <x:c r="H80" s="128"/>
      <x:c r="I80" s="128"/>
      <x:c r="J80" s="134"/>
      <x:c r="K80" s="128"/>
      <x:c r="L80" s="128"/>
      <x:c r="M80" s="134"/>
      <x:c r="N80" s="128"/>
      <x:c r="O80" s="128"/>
      <x:c r="P80" s="134"/>
      <x:c r="Q80" s="128"/>
      <x:c r="R80" s="128"/>
      <x:c r="S80" s="134"/>
      <x:c r="T80" s="128"/>
      <x:c r="U80" s="128"/>
      <x:c r="V80" s="137"/>
      <x:c r="W80" s="78"/>
      <x:c r="X80" s="78"/>
      <x:c r="Y80" s="78"/>
      <x:c r="Z80" s="78"/>
      <x:c r="AA80" s="78"/>
      <x:c r="AB80" s="78"/>
      <x:c r="AC80" s="78"/>
      <x:c r="AD80" s="78"/>
      <x:c r="AE80" s="78"/>
    </x:row>
    <x:row r="81" ht="24" customHeight="1">
      <x:c r="A81" s="78"/>
      <x:c r="B81" s="103"/>
      <x:c r="C81" s="105" t="str">
        <x:v>통합</x:v>
      </x:c>
      <x:c r="D81" s="101" t="str">
        <x:v>통합과학2</x:v>
      </x:c>
      <x:c r="E81" s="127"/>
      <x:c r="F81" s="128"/>
      <x:c r="G81" s="134"/>
      <x:c r="H81" s="128" t="n">
        <x:f>'기존안 과목내역'!I40</x:f>
        <x:v>4</x:v>
      </x:c>
      <x:c r="I81" s="128" t="n">
        <x:f>'공통융합 배정'!K43</x:f>
        <x:v>9</x:v>
      </x:c>
      <x:c r="J81" s="134" t="n">
        <x:f>'공통융합 배정'!L43</x:f>
        <x:v>36</x:v>
      </x:c>
      <x:c r="K81" s="128"/>
      <x:c r="L81" s="128"/>
      <x:c r="M81" s="134"/>
      <x:c r="N81" s="128"/>
      <x:c r="O81" s="128"/>
      <x:c r="P81" s="134"/>
      <x:c r="Q81" s="128"/>
      <x:c r="R81" s="128"/>
      <x:c r="S81" s="134"/>
      <x:c r="T81" s="128"/>
      <x:c r="U81" s="128"/>
      <x:c r="V81" s="137"/>
      <x:c r="W81" s="78"/>
      <x:c r="X81" s="78"/>
      <x:c r="Y81" s="78"/>
      <x:c r="Z81" s="78"/>
      <x:c r="AA81" s="78"/>
      <x:c r="AB81" s="78"/>
      <x:c r="AC81" s="78"/>
      <x:c r="AD81" s="78"/>
      <x:c r="AE81" s="78"/>
    </x:row>
    <x:row r="82" ht="24" customHeight="1">
      <x:c r="A82" s="78"/>
      <x:c r="B82" s="103"/>
      <x:c r="C82" s="105" t="str">
        <x:v>실험</x:v>
      </x:c>
      <x:c r="D82" s="101" t="str">
        <x:v>과학탐구실험2</x:v>
      </x:c>
      <x:c r="E82" s="127"/>
      <x:c r="F82" s="128"/>
      <x:c r="G82" s="134"/>
      <x:c r="H82" s="128" t="n">
        <x:f>'기존안 과목내역'!I41</x:f>
        <x:v>1</x:v>
      </x:c>
      <x:c r="I82" s="128" t="n">
        <x:f>'공통융합 배정'!K44</x:f>
        <x:v>2</x:v>
      </x:c>
      <x:c r="J82" s="134" t="n">
        <x:f>'공통융합 배정'!L44</x:f>
        <x:v>2</x:v>
      </x:c>
      <x:c r="K82" s="128"/>
      <x:c r="L82" s="128"/>
      <x:c r="M82" s="134"/>
      <x:c r="N82" s="128"/>
      <x:c r="O82" s="128"/>
      <x:c r="P82" s="134"/>
      <x:c r="Q82" s="128"/>
      <x:c r="R82" s="128"/>
      <x:c r="S82" s="134"/>
      <x:c r="T82" s="128"/>
      <x:c r="U82" s="128"/>
      <x:c r="V82" s="137"/>
      <x:c r="W82" s="78"/>
      <x:c r="X82" s="78"/>
      <x:c r="Y82" s="78"/>
      <x:c r="Z82" s="78"/>
      <x:c r="AA82" s="78"/>
      <x:c r="AB82" s="78"/>
      <x:c r="AC82" s="78"/>
      <x:c r="AD82" s="78"/>
      <x:c r="AE82" s="78"/>
    </x:row>
    <x:row r="83" ht="24" customHeight="1">
      <x:c r="A83" s="78"/>
      <x:c r="B83" s="103"/>
      <x:c r="C83" s="105" t="str">
        <x:v>융합</x:v>
      </x:c>
      <x:c r="D83" s="101" t="str">
        <x:v>과학의 역사와 문화</x:v>
      </x:c>
      <x:c r="E83" s="127"/>
      <x:c r="F83" s="128"/>
      <x:c r="G83" s="134"/>
      <x:c r="H83" s="128"/>
      <x:c r="I83" s="128"/>
      <x:c r="J83" s="134"/>
      <x:c r="K83" s="128"/>
      <x:c r="L83" s="128"/>
      <x:c r="M83" s="134"/>
      <x:c r="N83" s="128"/>
      <x:c r="O83" s="128"/>
      <x:c r="P83" s="134"/>
      <x:c r="Q83" s="128"/>
      <x:c r="R83" s="128"/>
      <x:c r="S83" s="134"/>
      <x:c r="T83" s="128" t="n">
        <x:f>'기존안 과목내역'!I59</x:f>
        <x:v>3</x:v>
      </x:c>
      <x:c r="U83" s="128" t="n">
        <x:f>'공통융합 배정'!K45</x:f>
        <x:v>3</x:v>
      </x:c>
      <x:c r="V83" s="137" t="n">
        <x:f>'공통융합 배정'!L45</x:f>
        <x:v>9</x:v>
      </x:c>
      <x:c r="W83" s="78"/>
      <x:c r="X83" s="78"/>
      <x:c r="Y83" s="78"/>
      <x:c r="Z83" s="78"/>
      <x:c r="AA83" s="78"/>
      <x:c r="AB83" s="78"/>
      <x:c r="AC83" s="78"/>
      <x:c r="AD83" s="78"/>
      <x:c r="AE83" s="78"/>
    </x:row>
    <x:row r="84" ht="24" customHeight="1">
      <x:c r="A84" s="78"/>
      <x:c r="B84" s="103"/>
      <x:c r="C84" s="105" t="str">
        <x:v>융합</x:v>
      </x:c>
      <x:c r="D84" s="101" t="str">
        <x:v>기후변화와 환경생태</x:v>
      </x:c>
      <x:c r="E84" s="127"/>
      <x:c r="F84" s="128"/>
      <x:c r="G84" s="134"/>
      <x:c r="H84" s="128"/>
      <x:c r="I84" s="128"/>
      <x:c r="J84" s="134"/>
      <x:c r="K84" s="128"/>
      <x:c r="L84" s="128"/>
      <x:c r="M84" s="134"/>
      <x:c r="N84" s="128"/>
      <x:c r="O84" s="128"/>
      <x:c r="P84" s="134"/>
      <x:c r="Q84" s="128"/>
      <x:c r="R84" s="128"/>
      <x:c r="S84" s="134"/>
      <x:c r="T84" s="128" t="n">
        <x:f>'기존안 과목내역'!I60</x:f>
        <x:v>3</x:v>
      </x:c>
      <x:c r="U84" s="128" t="n">
        <x:f>'공통융합 배정'!K46</x:f>
        <x:v>0</x:v>
      </x:c>
      <x:c r="V84" s="137" t="n">
        <x:f>'공통융합 배정'!L46</x:f>
        <x:v>0</x:v>
      </x:c>
      <x:c r="W84" s="78"/>
      <x:c r="X84" s="78"/>
      <x:c r="Y84" s="78"/>
      <x:c r="Z84" s="78"/>
      <x:c r="AA84" s="78"/>
      <x:c r="AB84" s="78"/>
      <x:c r="AC84" s="78"/>
      <x:c r="AD84" s="78"/>
      <x:c r="AE84" s="78"/>
    </x:row>
    <x:row r="85" ht="24" customHeight="1">
      <x:c r="A85" s="78"/>
      <x:c r="B85" s="103"/>
      <x:c r="C85" s="105" t="str">
        <x:v>융합</x:v>
      </x:c>
      <x:c r="D85" s="101" t="str">
        <x:v>융합과학 탐구</x:v>
      </x:c>
      <x:c r="E85" s="130"/>
      <x:c r="F85" s="131"/>
      <x:c r="G85" s="135"/>
      <x:c r="H85" s="131"/>
      <x:c r="I85" s="131"/>
      <x:c r="J85" s="135"/>
      <x:c r="K85" s="131"/>
      <x:c r="L85" s="131"/>
      <x:c r="M85" s="135"/>
      <x:c r="N85" s="131"/>
      <x:c r="O85" s="131"/>
      <x:c r="P85" s="135"/>
      <x:c r="Q85" s="131"/>
      <x:c r="R85" s="131"/>
      <x:c r="S85" s="135"/>
      <x:c r="T85" s="131" t="n">
        <x:f>'기존안 과목내역'!I61</x:f>
        <x:v>3</x:v>
      </x:c>
      <x:c r="U85" s="131" t="n">
        <x:f>'공통융합 배정'!K47</x:f>
        <x:v>2</x:v>
      </x:c>
      <x:c r="V85" s="138" t="n">
        <x:f>'공통융합 배정'!L47</x:f>
        <x:v>6</x:v>
      </x:c>
      <x:c r="W85" s="78"/>
      <x:c r="X85" s="78"/>
      <x:c r="Y85" s="78"/>
      <x:c r="Z85" s="78"/>
      <x:c r="AA85" s="78"/>
      <x:c r="AB85" s="78"/>
      <x:c r="AC85" s="78"/>
      <x:c r="AD85" s="78"/>
      <x:c r="AE85" s="78"/>
    </x:row>
    <x:row r="86" ht="30" customHeight="1">
      <x:c r="A86" s="78"/>
      <x:c r="B86" s="141" t="str">
        <x:v>생명과학 합계</x:v>
      </x:c>
      <x:c r="C86" s="141"/>
      <x:c r="D86" s="141"/>
      <x:c r="E86" s="141"/>
      <x:c r="F86" s="141"/>
      <x:c r="G86" s="141" t="n">
        <x:f>SUM(G90,G91)</x:f>
        <x:v>20</x:v>
      </x:c>
      <x:c r="H86" s="141"/>
      <x:c r="I86" s="141"/>
      <x:c r="J86" s="141" t="n">
        <x:f>SUM(J92,J93)</x:f>
        <x:v>2</x:v>
      </x:c>
      <x:c r="K86" s="141"/>
      <x:c r="L86" s="141"/>
      <x:c r="M86" s="141" t="n">
        <x:f>0</x:f>
        <x:v>0</x:v>
      </x:c>
      <x:c r="N86" s="141"/>
      <x:c r="O86" s="141"/>
      <x:c r="P86" s="141" t="n">
        <x:f>SUM(P87,P89)</x:f>
        <x:v>36</x:v>
      </x:c>
      <x:c r="Q86" s="141"/>
      <x:c r="R86" s="141"/>
      <x:c r="S86" s="141" t="n">
        <x:f>SUM(S87,S88)</x:f>
        <x:v>30</x:v>
      </x:c>
      <x:c r="T86" s="141"/>
      <x:c r="U86" s="141"/>
      <x:c r="V86" s="141" t="n">
        <x:f>SUM(V88,V94,V95,V96)</x:f>
        <x:v>15</x:v>
      </x:c>
      <x:c r="W86" s="141" t="n">
        <x:f>IF(ISNUMBER('산정근거'!C16),'산정근거'!C16,"미정")</x:f>
        <x:v>3</x:v>
      </x:c>
      <x:c r="X86" s="143" t="n">
        <x:f>SUM(S87,S88)</x:f>
        <x:v>30</x:v>
      </x:c>
      <x:c r="Y86" s="143" t="n">
        <x:f>SUM(G90,G91)</x:f>
        <x:v>20</x:v>
      </x:c>
      <x:c r="Z86" s="143" t="n">
        <x:f>X86+Y86</x:f>
        <x:v>50</x:v>
      </x:c>
      <x:c r="AA86" s="144" t="n">
        <x:f>IF(OR(NOT(ISNUMBER(W86)),W86&lt;=0),"미정",Z86/W86)</x:f>
        <x:v>16.666666666666668</x:v>
      </x:c>
      <x:c r="AB86" s="143" t="n">
        <x:f>SUM(P87,V88,P89)</x:f>
        <x:v>36</x:v>
      </x:c>
      <x:c r="AC86" s="143" t="n">
        <x:f>SUM(J92,J93,V94,V95,V96)</x:f>
        <x:v>17</x:v>
      </x:c>
      <x:c r="AD86" s="143" t="n">
        <x:f>AB86+AC86</x:f>
        <x:v>53</x:v>
      </x:c>
      <x:c r="AE86" s="144" t="n">
        <x:f>IF(OR(NOT(ISNUMBER(W86)),W86&lt;=0),"미정",AD86/W86)</x:f>
        <x:v>17.666666666666668</x:v>
      </x:c>
    </x:row>
    <x:row r="87" ht="24" customHeight="1">
      <x:c r="A87" s="78"/>
      <x:c r="B87" s="103" t="str">
        <x:v>생물</x:v>
      </x:c>
      <x:c r="C87" s="104" t="str">
        <x:v>자체</x:v>
      </x:c>
      <x:c r="D87" s="81" t="str">
        <x:v>생물의 유전</x:v>
      </x:c>
      <x:c r="E87" s="124"/>
      <x:c r="F87" s="125"/>
      <x:c r="G87" s="133"/>
      <x:c r="H87" s="125"/>
      <x:c r="I87" s="125"/>
      <x:c r="J87" s="133"/>
      <x:c r="K87" s="125"/>
      <x:c r="L87" s="125"/>
      <x:c r="M87" s="133"/>
      <x:c r="N87" s="125" t="n">
        <x:f>'기존안 과목내역'!I48</x:f>
        <x:v>3</x:v>
      </x:c>
      <x:c r="O87" s="125" t="n">
        <x:f>'기존안 과목내역'!J48</x:f>
        <x:v>5</x:v>
      </x:c>
      <x:c r="P87" s="133" t="n">
        <x:f>N87*O87</x:f>
        <x:v>15</x:v>
      </x:c>
      <x:c r="Q87" s="125" t="n">
        <x:f>'기존안 과목내역'!I31</x:f>
        <x:v>3</x:v>
      </x:c>
      <x:c r="R87" s="125" t="n">
        <x:f>'기존안 과목내역'!J31</x:f>
        <x:v>5</x:v>
      </x:c>
      <x:c r="S87" s="133" t="n">
        <x:f>Q87*R87</x:f>
        <x:v>15</x:v>
      </x:c>
      <x:c r="T87" s="125"/>
      <x:c r="U87" s="125"/>
      <x:c r="V87" s="136"/>
      <x:c r="W87" s="78"/>
      <x:c r="X87" s="78"/>
      <x:c r="Y87" s="78"/>
      <x:c r="Z87" s="78"/>
      <x:c r="AA87" s="78"/>
      <x:c r="AB87" s="78"/>
      <x:c r="AC87" s="78"/>
      <x:c r="AD87" s="78"/>
      <x:c r="AE87" s="78"/>
    </x:row>
    <x:row r="88" ht="24" customHeight="1">
      <x:c r="A88" s="78"/>
      <x:c r="B88" s="103"/>
      <x:c r="C88" s="104" t="str">
        <x:v>자체</x:v>
      </x:c>
      <x:c r="D88" s="81" t="str">
        <x:v>세포와 물질대사</x:v>
      </x:c>
      <x:c r="E88" s="127"/>
      <x:c r="F88" s="128"/>
      <x:c r="G88" s="134"/>
      <x:c r="H88" s="128"/>
      <x:c r="I88" s="128"/>
      <x:c r="J88" s="134"/>
      <x:c r="K88" s="128"/>
      <x:c r="L88" s="128"/>
      <x:c r="M88" s="134"/>
      <x:c r="N88" s="128"/>
      <x:c r="O88" s="128"/>
      <x:c r="P88" s="134"/>
      <x:c r="Q88" s="128" t="n">
        <x:f>'기존안 과목내역'!I32</x:f>
        <x:v>3</x:v>
      </x:c>
      <x:c r="R88" s="128" t="n">
        <x:f>'기존안 과목내역'!J32</x:f>
        <x:v>5</x:v>
      </x:c>
      <x:c r="S88" s="134" t="n">
        <x:f>Q88*R88</x:f>
        <x:v>15</x:v>
      </x:c>
      <x:c r="T88" s="128" t="n">
        <x:f>'기존안 과목내역'!I56</x:f>
        <x:v>3</x:v>
      </x:c>
      <x:c r="U88" s="128" t="n">
        <x:f>'기존안 과목내역'!J56</x:f>
        <x:v>0</x:v>
      </x:c>
      <x:c r="V88" s="137" t="n">
        <x:f>T88*U88</x:f>
        <x:v>0</x:v>
      </x:c>
      <x:c r="W88" s="78"/>
      <x:c r="X88" s="78"/>
      <x:c r="Y88" s="78"/>
      <x:c r="Z88" s="78"/>
      <x:c r="AA88" s="78"/>
      <x:c r="AB88" s="78"/>
      <x:c r="AC88" s="78"/>
      <x:c r="AD88" s="78"/>
      <x:c r="AE88" s="78"/>
    </x:row>
    <x:row r="89" ht="24" customHeight="1">
      <x:c r="A89" s="78"/>
      <x:c r="B89" s="103"/>
      <x:c r="C89" s="104" t="str">
        <x:v>자체</x:v>
      </x:c>
      <x:c r="D89" s="81" t="str">
        <x:v>생명과학</x:v>
      </x:c>
      <x:c r="E89" s="127"/>
      <x:c r="F89" s="128"/>
      <x:c r="G89" s="134"/>
      <x:c r="H89" s="128"/>
      <x:c r="I89" s="128"/>
      <x:c r="J89" s="134"/>
      <x:c r="K89" s="128"/>
      <x:c r="L89" s="128"/>
      <x:c r="M89" s="134"/>
      <x:c r="N89" s="128" t="n">
        <x:f>'기존안 과목내역'!I47</x:f>
        <x:v>3</x:v>
      </x:c>
      <x:c r="O89" s="128" t="n">
        <x:f>'기존안 과목내역'!J47</x:f>
        <x:v>7</x:v>
      </x:c>
      <x:c r="P89" s="134" t="n">
        <x:f>N89*O89</x:f>
        <x:v>21</x:v>
      </x:c>
      <x:c r="Q89" s="128"/>
      <x:c r="R89" s="128"/>
      <x:c r="S89" s="134"/>
      <x:c r="T89" s="128"/>
      <x:c r="U89" s="128"/>
      <x:c r="V89" s="137"/>
      <x:c r="W89" s="78"/>
      <x:c r="X89" s="78"/>
      <x:c r="Y89" s="78"/>
      <x:c r="Z89" s="78"/>
      <x:c r="AA89" s="78"/>
      <x:c r="AB89" s="78"/>
      <x:c r="AC89" s="78"/>
      <x:c r="AD89" s="78"/>
      <x:c r="AE89" s="78"/>
    </x:row>
    <x:row r="90" ht="24" customHeight="1">
      <x:c r="A90" s="78"/>
      <x:c r="B90" s="103"/>
      <x:c r="C90" s="105" t="str">
        <x:v>통합</x:v>
      </x:c>
      <x:c r="D90" s="101" t="str">
        <x:v>통합과학1</x:v>
      </x:c>
      <x:c r="E90" s="127" t="n">
        <x:f>'기존안 과목내역'!I10</x:f>
        <x:v>4</x:v>
      </x:c>
      <x:c r="F90" s="128" t="n">
        <x:f>'공통융합 배정'!M41</x:f>
        <x:v>4</x:v>
      </x:c>
      <x:c r="G90" s="134" t="n">
        <x:f>'공통융합 배정'!N41</x:f>
        <x:v>16</x:v>
      </x:c>
      <x:c r="H90" s="128"/>
      <x:c r="I90" s="128"/>
      <x:c r="J90" s="134"/>
      <x:c r="K90" s="128"/>
      <x:c r="L90" s="128"/>
      <x:c r="M90" s="134"/>
      <x:c r="N90" s="128"/>
      <x:c r="O90" s="128"/>
      <x:c r="P90" s="134"/>
      <x:c r="Q90" s="128"/>
      <x:c r="R90" s="128"/>
      <x:c r="S90" s="134"/>
      <x:c r="T90" s="128"/>
      <x:c r="U90" s="128"/>
      <x:c r="V90" s="137"/>
      <x:c r="W90" s="78"/>
      <x:c r="X90" s="78"/>
      <x:c r="Y90" s="78"/>
      <x:c r="Z90" s="78"/>
      <x:c r="AA90" s="78"/>
      <x:c r="AB90" s="78"/>
      <x:c r="AC90" s="78"/>
      <x:c r="AD90" s="78"/>
      <x:c r="AE90" s="78"/>
    </x:row>
    <x:row r="91" ht="24" customHeight="1">
      <x:c r="A91" s="78"/>
      <x:c r="B91" s="103"/>
      <x:c r="C91" s="105" t="str">
        <x:v>실험</x:v>
      </x:c>
      <x:c r="D91" s="101" t="str">
        <x:v>과학탐구실험1</x:v>
      </x:c>
      <x:c r="E91" s="127" t="n">
        <x:f>'기존안 과목내역'!I11</x:f>
        <x:v>1</x:v>
      </x:c>
      <x:c r="F91" s="128" t="n">
        <x:f>'공통융합 배정'!M42</x:f>
        <x:v>4</x:v>
      </x:c>
      <x:c r="G91" s="134" t="n">
        <x:f>'공통융합 배정'!N42</x:f>
        <x:v>4</x:v>
      </x:c>
      <x:c r="H91" s="128"/>
      <x:c r="I91" s="128"/>
      <x:c r="J91" s="134"/>
      <x:c r="K91" s="128"/>
      <x:c r="L91" s="128"/>
      <x:c r="M91" s="134"/>
      <x:c r="N91" s="128"/>
      <x:c r="O91" s="128"/>
      <x:c r="P91" s="134"/>
      <x:c r="Q91" s="128"/>
      <x:c r="R91" s="128"/>
      <x:c r="S91" s="134"/>
      <x:c r="T91" s="128"/>
      <x:c r="U91" s="128"/>
      <x:c r="V91" s="137"/>
      <x:c r="W91" s="78"/>
      <x:c r="X91" s="78"/>
      <x:c r="Y91" s="78"/>
      <x:c r="Z91" s="78"/>
      <x:c r="AA91" s="78"/>
      <x:c r="AB91" s="78"/>
      <x:c r="AC91" s="78"/>
      <x:c r="AD91" s="78"/>
      <x:c r="AE91" s="78"/>
    </x:row>
    <x:row r="92" ht="24" customHeight="1">
      <x:c r="A92" s="78"/>
      <x:c r="B92" s="103"/>
      <x:c r="C92" s="105" t="str">
        <x:v>통합</x:v>
      </x:c>
      <x:c r="D92" s="101" t="str">
        <x:v>통합과학2</x:v>
      </x:c>
      <x:c r="E92" s="127"/>
      <x:c r="F92" s="128"/>
      <x:c r="G92" s="134"/>
      <x:c r="H92" s="128" t="n">
        <x:f>'기존안 과목내역'!I40</x:f>
        <x:v>4</x:v>
      </x:c>
      <x:c r="I92" s="128" t="n">
        <x:f>'공통융합 배정'!M43</x:f>
        <x:v>0</x:v>
      </x:c>
      <x:c r="J92" s="134" t="n">
        <x:f>'공통융합 배정'!N43</x:f>
        <x:v>0</x:v>
      </x:c>
      <x:c r="K92" s="128"/>
      <x:c r="L92" s="128"/>
      <x:c r="M92" s="134"/>
      <x:c r="N92" s="128"/>
      <x:c r="O92" s="128"/>
      <x:c r="P92" s="134"/>
      <x:c r="Q92" s="128"/>
      <x:c r="R92" s="128"/>
      <x:c r="S92" s="134"/>
      <x:c r="T92" s="128"/>
      <x:c r="U92" s="128"/>
      <x:c r="V92" s="137"/>
      <x:c r="W92" s="78"/>
      <x:c r="X92" s="78"/>
      <x:c r="Y92" s="78"/>
      <x:c r="Z92" s="78"/>
      <x:c r="AA92" s="78"/>
      <x:c r="AB92" s="78"/>
      <x:c r="AC92" s="78"/>
      <x:c r="AD92" s="78"/>
      <x:c r="AE92" s="78"/>
    </x:row>
    <x:row r="93" ht="24" customHeight="1">
      <x:c r="A93" s="78"/>
      <x:c r="B93" s="103"/>
      <x:c r="C93" s="105" t="str">
        <x:v>실험</x:v>
      </x:c>
      <x:c r="D93" s="101" t="str">
        <x:v>과학탐구실험2</x:v>
      </x:c>
      <x:c r="E93" s="127"/>
      <x:c r="F93" s="128"/>
      <x:c r="G93" s="134"/>
      <x:c r="H93" s="128" t="n">
        <x:f>'기존안 과목내역'!I41</x:f>
        <x:v>1</x:v>
      </x:c>
      <x:c r="I93" s="128" t="n">
        <x:f>'공통융합 배정'!M44</x:f>
        <x:v>2</x:v>
      </x:c>
      <x:c r="J93" s="134" t="n">
        <x:f>'공통융합 배정'!N44</x:f>
        <x:v>2</x:v>
      </x:c>
      <x:c r="K93" s="128"/>
      <x:c r="L93" s="128"/>
      <x:c r="M93" s="134"/>
      <x:c r="N93" s="128"/>
      <x:c r="O93" s="128"/>
      <x:c r="P93" s="134"/>
      <x:c r="Q93" s="128"/>
      <x:c r="R93" s="128"/>
      <x:c r="S93" s="134"/>
      <x:c r="T93" s="128"/>
      <x:c r="U93" s="128"/>
      <x:c r="V93" s="137"/>
      <x:c r="W93" s="78"/>
      <x:c r="X93" s="78"/>
      <x:c r="Y93" s="78"/>
      <x:c r="Z93" s="78"/>
      <x:c r="AA93" s="78"/>
      <x:c r="AB93" s="78"/>
      <x:c r="AC93" s="78"/>
      <x:c r="AD93" s="78"/>
      <x:c r="AE93" s="78"/>
    </x:row>
    <x:row r="94" ht="24" customHeight="1">
      <x:c r="A94" s="78"/>
      <x:c r="B94" s="103"/>
      <x:c r="C94" s="105" t="str">
        <x:v>융합</x:v>
      </x:c>
      <x:c r="D94" s="101" t="str">
        <x:v>과학의 역사와 문화</x:v>
      </x:c>
      <x:c r="E94" s="127"/>
      <x:c r="F94" s="128"/>
      <x:c r="G94" s="134"/>
      <x:c r="H94" s="128"/>
      <x:c r="I94" s="128"/>
      <x:c r="J94" s="134"/>
      <x:c r="K94" s="128"/>
      <x:c r="L94" s="128"/>
      <x:c r="M94" s="134"/>
      <x:c r="N94" s="128"/>
      <x:c r="O94" s="128"/>
      <x:c r="P94" s="134"/>
      <x:c r="Q94" s="128"/>
      <x:c r="R94" s="128"/>
      <x:c r="S94" s="134"/>
      <x:c r="T94" s="128" t="n">
        <x:f>'기존안 과목내역'!I59</x:f>
        <x:v>3</x:v>
      </x:c>
      <x:c r="U94" s="128" t="n">
        <x:f>'공통융합 배정'!M45</x:f>
        <x:v>1</x:v>
      </x:c>
      <x:c r="V94" s="137" t="n">
        <x:f>'공통융합 배정'!N45</x:f>
        <x:v>3</x:v>
      </x:c>
      <x:c r="W94" s="78"/>
      <x:c r="X94" s="78"/>
      <x:c r="Y94" s="78"/>
      <x:c r="Z94" s="78"/>
      <x:c r="AA94" s="78"/>
      <x:c r="AB94" s="78"/>
      <x:c r="AC94" s="78"/>
      <x:c r="AD94" s="78"/>
      <x:c r="AE94" s="78"/>
    </x:row>
    <x:row r="95" ht="24" customHeight="1">
      <x:c r="A95" s="78"/>
      <x:c r="B95" s="103"/>
      <x:c r="C95" s="105" t="str">
        <x:v>융합</x:v>
      </x:c>
      <x:c r="D95" s="101" t="str">
        <x:v>기후변화와 환경생태</x:v>
      </x:c>
      <x:c r="E95" s="127"/>
      <x:c r="F95" s="128"/>
      <x:c r="G95" s="134"/>
      <x:c r="H95" s="128"/>
      <x:c r="I95" s="128"/>
      <x:c r="J95" s="134"/>
      <x:c r="K95" s="128"/>
      <x:c r="L95" s="128"/>
      <x:c r="M95" s="134"/>
      <x:c r="N95" s="128"/>
      <x:c r="O95" s="128"/>
      <x:c r="P95" s="134"/>
      <x:c r="Q95" s="128"/>
      <x:c r="R95" s="128"/>
      <x:c r="S95" s="134"/>
      <x:c r="T95" s="128" t="n">
        <x:f>'기존안 과목내역'!I60</x:f>
        <x:v>3</x:v>
      </x:c>
      <x:c r="U95" s="128" t="n">
        <x:f>'공통융합 배정'!M46</x:f>
        <x:v>1</x:v>
      </x:c>
      <x:c r="V95" s="137" t="n">
        <x:f>'공통융합 배정'!N46</x:f>
        <x:v>3</x:v>
      </x:c>
      <x:c r="W95" s="78"/>
      <x:c r="X95" s="78"/>
      <x:c r="Y95" s="78"/>
      <x:c r="Z95" s="78"/>
      <x:c r="AA95" s="78"/>
      <x:c r="AB95" s="78"/>
      <x:c r="AC95" s="78"/>
      <x:c r="AD95" s="78"/>
      <x:c r="AE95" s="78"/>
    </x:row>
    <x:row r="96" ht="24" customHeight="1">
      <x:c r="A96" s="78"/>
      <x:c r="B96" s="103"/>
      <x:c r="C96" s="105" t="str">
        <x:v>융합</x:v>
      </x:c>
      <x:c r="D96" s="101" t="str">
        <x:v>융합과학 탐구</x:v>
      </x:c>
      <x:c r="E96" s="130"/>
      <x:c r="F96" s="131"/>
      <x:c r="G96" s="135"/>
      <x:c r="H96" s="131"/>
      <x:c r="I96" s="131"/>
      <x:c r="J96" s="135"/>
      <x:c r="K96" s="131"/>
      <x:c r="L96" s="131"/>
      <x:c r="M96" s="135"/>
      <x:c r="N96" s="131"/>
      <x:c r="O96" s="131"/>
      <x:c r="P96" s="135"/>
      <x:c r="Q96" s="131"/>
      <x:c r="R96" s="131"/>
      <x:c r="S96" s="135"/>
      <x:c r="T96" s="131" t="n">
        <x:f>'기존안 과목내역'!I61</x:f>
        <x:v>3</x:v>
      </x:c>
      <x:c r="U96" s="131" t="n">
        <x:f>'공통융합 배정'!M47</x:f>
        <x:v>3</x:v>
      </x:c>
      <x:c r="V96" s="138" t="n">
        <x:f>'공통융합 배정'!N47</x:f>
        <x:v>9</x:v>
      </x:c>
      <x:c r="W96" s="78"/>
      <x:c r="X96" s="78"/>
      <x:c r="Y96" s="78"/>
      <x:c r="Z96" s="78"/>
      <x:c r="AA96" s="78"/>
      <x:c r="AB96" s="78"/>
      <x:c r="AC96" s="78"/>
      <x:c r="AD96" s="78"/>
      <x:c r="AE96" s="78"/>
    </x:row>
    <x:row r="97" ht="30" customHeight="1">
      <x:c r="A97" s="78"/>
      <x:c r="B97" s="141" t="str">
        <x:v>지구과학 합계</x:v>
      </x:c>
      <x:c r="C97" s="141"/>
      <x:c r="D97" s="141"/>
      <x:c r="E97" s="141"/>
      <x:c r="F97" s="141"/>
      <x:c r="G97" s="141" t="n">
        <x:f>SUM(G101,G102)</x:f>
        <x:v>34</x:v>
      </x:c>
      <x:c r="H97" s="141"/>
      <x:c r="I97" s="141"/>
      <x:c r="J97" s="141" t="n">
        <x:f>SUM(J103,J104)</x:f>
        <x:v>5</x:v>
      </x:c>
      <x:c r="K97" s="141"/>
      <x:c r="L97" s="141"/>
      <x:c r="M97" s="141" t="n">
        <x:f>SUM(M98)</x:f>
        <x:v>15</x:v>
      </x:c>
      <x:c r="N97" s="141"/>
      <x:c r="O97" s="141"/>
      <x:c r="P97" s="141" t="n">
        <x:f>SUM(P100)</x:f>
        <x:v>3</x:v>
      </x:c>
      <x:c r="Q97" s="141"/>
      <x:c r="R97" s="141"/>
      <x:c r="S97" s="141" t="n">
        <x:f>SUM(S99,S100)</x:f>
        <x:v>0</x:v>
      </x:c>
      <x:c r="T97" s="141"/>
      <x:c r="U97" s="141"/>
      <x:c r="V97" s="141" t="n">
        <x:f>SUM(V99,V105,V106,V107)</x:f>
        <x:v>45</x:v>
      </x:c>
      <x:c r="W97" s="141" t="n">
        <x:f>IF(ISNUMBER('산정근거'!C17),'산정근거'!C17,"미정")</x:f>
        <x:v>3</x:v>
      </x:c>
      <x:c r="X97" s="143" t="n">
        <x:f>SUM(M98,S99,S100)</x:f>
        <x:v>15</x:v>
      </x:c>
      <x:c r="Y97" s="143" t="n">
        <x:f>SUM(G101,G102)</x:f>
        <x:v>34</x:v>
      </x:c>
      <x:c r="Z97" s="143" t="n">
        <x:f>X97+Y97</x:f>
        <x:v>49</x:v>
      </x:c>
      <x:c r="AA97" s="144" t="n">
        <x:f>IF(OR(NOT(ISNUMBER(W97)),W97&lt;=0),"미정",Z97/W97)</x:f>
        <x:v>16.333333333333332</x:v>
      </x:c>
      <x:c r="AB97" s="143" t="n">
        <x:f>SUM(V99,P100)</x:f>
        <x:v>9</x:v>
      </x:c>
      <x:c r="AC97" s="143" t="n">
        <x:f>SUM(J103,J104,V105,V106,V107)</x:f>
        <x:v>44</x:v>
      </x:c>
      <x:c r="AD97" s="143" t="n">
        <x:f>AB97+AC97</x:f>
        <x:v>53</x:v>
      </x:c>
      <x:c r="AE97" s="144" t="n">
        <x:f>IF(OR(NOT(ISNUMBER(W97)),W97&lt;=0),"미정",AD97/W97)</x:f>
        <x:v>17.666666666666668</x:v>
      </x:c>
    </x:row>
    <x:row r="98" ht="24" customHeight="1">
      <x:c r="A98" s="78"/>
      <x:c r="B98" s="103" t="str">
        <x:v>지구과학</x:v>
      </x:c>
      <x:c r="C98" s="104" t="str">
        <x:v>자체</x:v>
      </x:c>
      <x:c r="D98" s="81" t="str">
        <x:v>지구과학</x:v>
      </x:c>
      <x:c r="E98" s="124"/>
      <x:c r="F98" s="125"/>
      <x:c r="G98" s="133"/>
      <x:c r="H98" s="125"/>
      <x:c r="I98" s="125"/>
      <x:c r="J98" s="133"/>
      <x:c r="K98" s="125" t="n">
        <x:f>'기존안 과목내역'!I17</x:f>
        <x:v>3</x:v>
      </x:c>
      <x:c r="L98" s="125" t="n">
        <x:f>'기존안 과목내역'!J17</x:f>
        <x:v>5</x:v>
      </x:c>
      <x:c r="M98" s="133" t="n">
        <x:f>K98*L98</x:f>
        <x:v>15</x:v>
      </x:c>
      <x:c r="N98" s="125"/>
      <x:c r="O98" s="125"/>
      <x:c r="P98" s="133"/>
      <x:c r="Q98" s="125"/>
      <x:c r="R98" s="125"/>
      <x:c r="S98" s="133"/>
      <x:c r="T98" s="125"/>
      <x:c r="U98" s="125"/>
      <x:c r="V98" s="136"/>
      <x:c r="W98" s="78"/>
      <x:c r="X98" s="78"/>
      <x:c r="Y98" s="78"/>
      <x:c r="Z98" s="78"/>
      <x:c r="AA98" s="78"/>
      <x:c r="AB98" s="78"/>
      <x:c r="AC98" s="78"/>
      <x:c r="AD98" s="78"/>
      <x:c r="AE98" s="78"/>
    </x:row>
    <x:row r="99" ht="24" customHeight="1">
      <x:c r="A99" s="78"/>
      <x:c r="B99" s="103"/>
      <x:c r="C99" s="104" t="str">
        <x:v>자체</x:v>
      </x:c>
      <x:c r="D99" s="81" t="str">
        <x:v>지구시스템과학</x:v>
      </x:c>
      <x:c r="E99" s="127"/>
      <x:c r="F99" s="128"/>
      <x:c r="G99" s="134"/>
      <x:c r="H99" s="128"/>
      <x:c r="I99" s="128"/>
      <x:c r="J99" s="134"/>
      <x:c r="K99" s="128"/>
      <x:c r="L99" s="128"/>
      <x:c r="M99" s="134"/>
      <x:c r="N99" s="128"/>
      <x:c r="O99" s="128"/>
      <x:c r="P99" s="134"/>
      <x:c r="Q99" s="128" t="n">
        <x:f>'기존안 과목내역'!I35</x:f>
        <x:v>3</x:v>
      </x:c>
      <x:c r="R99" s="128" t="n">
        <x:f>'기존안 과목내역'!J35</x:f>
        <x:v>0</x:v>
      </x:c>
      <x:c r="S99" s="134" t="n">
        <x:f>Q99*R99</x:f>
        <x:v>0</x:v>
      </x:c>
      <x:c r="T99" s="128" t="n">
        <x:f>'기존안 과목내역'!I58</x:f>
        <x:v>3</x:v>
      </x:c>
      <x:c r="U99" s="128" t="n">
        <x:f>'기존안 과목내역'!J58</x:f>
        <x:v>2</x:v>
      </x:c>
      <x:c r="V99" s="137" t="n">
        <x:f>T99*U99</x:f>
        <x:v>6</x:v>
      </x:c>
      <x:c r="W99" s="78"/>
      <x:c r="X99" s="78"/>
      <x:c r="Y99" s="78"/>
      <x:c r="Z99" s="78"/>
      <x:c r="AA99" s="78"/>
      <x:c r="AB99" s="78"/>
      <x:c r="AC99" s="78"/>
      <x:c r="AD99" s="78"/>
      <x:c r="AE99" s="78"/>
    </x:row>
    <x:row r="100" ht="24" customHeight="1">
      <x:c r="A100" s="78"/>
      <x:c r="B100" s="103"/>
      <x:c r="C100" s="104" t="str">
        <x:v>자체</x:v>
      </x:c>
      <x:c r="D100" s="81" t="str">
        <x:v>행성우주과학</x:v>
      </x:c>
      <x:c r="E100" s="127"/>
      <x:c r="F100" s="128"/>
      <x:c r="G100" s="134"/>
      <x:c r="H100" s="128"/>
      <x:c r="I100" s="128"/>
      <x:c r="J100" s="134"/>
      <x:c r="K100" s="128"/>
      <x:c r="L100" s="128"/>
      <x:c r="M100" s="134"/>
      <x:c r="N100" s="128" t="n">
        <x:f>'기존안 과목내역'!I50</x:f>
        <x:v>3</x:v>
      </x:c>
      <x:c r="O100" s="128" t="n">
        <x:f>'기존안 과목내역'!J50</x:f>
        <x:v>1</x:v>
      </x:c>
      <x:c r="P100" s="134" t="n">
        <x:f>N100*O100</x:f>
        <x:v>3</x:v>
      </x:c>
      <x:c r="Q100" s="128" t="n">
        <x:f>'기존안 과목내역'!I36</x:f>
        <x:v>3</x:v>
      </x:c>
      <x:c r="R100" s="128" t="n">
        <x:f>'기존안 과목내역'!J36</x:f>
        <x:v>0</x:v>
      </x:c>
      <x:c r="S100" s="134" t="n">
        <x:f>Q100*R100</x:f>
        <x:v>0</x:v>
      </x:c>
      <x:c r="T100" s="128"/>
      <x:c r="U100" s="128"/>
      <x:c r="V100" s="137"/>
      <x:c r="W100" s="78"/>
      <x:c r="X100" s="78"/>
      <x:c r="Y100" s="78"/>
      <x:c r="Z100" s="78"/>
      <x:c r="AA100" s="78"/>
      <x:c r="AB100" s="78"/>
      <x:c r="AC100" s="78"/>
      <x:c r="AD100" s="78"/>
      <x:c r="AE100" s="78"/>
    </x:row>
    <x:row r="101" ht="24" customHeight="1">
      <x:c r="A101" s="78"/>
      <x:c r="B101" s="103"/>
      <x:c r="C101" s="105" t="str">
        <x:v>통합</x:v>
      </x:c>
      <x:c r="D101" s="101" t="str">
        <x:v>통합과학1</x:v>
      </x:c>
      <x:c r="E101" s="127" t="n">
        <x:f>'기존안 과목내역'!I10</x:f>
        <x:v>4</x:v>
      </x:c>
      <x:c r="F101" s="128" t="n">
        <x:f>'공통융합 배정'!O41</x:f>
        <x:v>7</x:v>
      </x:c>
      <x:c r="G101" s="134" t="n">
        <x:f>'공통융합 배정'!P41</x:f>
        <x:v>28</x:v>
      </x:c>
      <x:c r="H101" s="128"/>
      <x:c r="I101" s="128"/>
      <x:c r="J101" s="134"/>
      <x:c r="K101" s="128"/>
      <x:c r="L101" s="128"/>
      <x:c r="M101" s="134"/>
      <x:c r="N101" s="128"/>
      <x:c r="O101" s="128"/>
      <x:c r="P101" s="134"/>
      <x:c r="Q101" s="128"/>
      <x:c r="R101" s="128"/>
      <x:c r="S101" s="134"/>
      <x:c r="T101" s="128"/>
      <x:c r="U101" s="128"/>
      <x:c r="V101" s="137"/>
      <x:c r="W101" s="78"/>
      <x:c r="X101" s="78"/>
      <x:c r="Y101" s="78"/>
      <x:c r="Z101" s="78"/>
      <x:c r="AA101" s="78"/>
      <x:c r="AB101" s="78"/>
      <x:c r="AC101" s="78"/>
      <x:c r="AD101" s="78"/>
      <x:c r="AE101" s="78"/>
    </x:row>
    <x:row r="102" ht="24" customHeight="1">
      <x:c r="A102" s="78"/>
      <x:c r="B102" s="103"/>
      <x:c r="C102" s="105" t="str">
        <x:v>실험</x:v>
      </x:c>
      <x:c r="D102" s="101" t="str">
        <x:v>과학탐구실험1</x:v>
      </x:c>
      <x:c r="E102" s="127" t="n">
        <x:f>'기존안 과목내역'!I11</x:f>
        <x:v>1</x:v>
      </x:c>
      <x:c r="F102" s="128" t="n">
        <x:f>'공통융합 배정'!O42</x:f>
        <x:v>6</x:v>
      </x:c>
      <x:c r="G102" s="134" t="n">
        <x:f>'공통융합 배정'!P42</x:f>
        <x:v>6</x:v>
      </x:c>
      <x:c r="H102" s="128"/>
      <x:c r="I102" s="128"/>
      <x:c r="J102" s="134"/>
      <x:c r="K102" s="128"/>
      <x:c r="L102" s="128"/>
      <x:c r="M102" s="134"/>
      <x:c r="N102" s="128"/>
      <x:c r="O102" s="128"/>
      <x:c r="P102" s="134"/>
      <x:c r="Q102" s="128"/>
      <x:c r="R102" s="128"/>
      <x:c r="S102" s="134"/>
      <x:c r="T102" s="128"/>
      <x:c r="U102" s="128"/>
      <x:c r="V102" s="137"/>
      <x:c r="W102" s="78"/>
      <x:c r="X102" s="78"/>
      <x:c r="Y102" s="78"/>
      <x:c r="Z102" s="78"/>
      <x:c r="AA102" s="78"/>
      <x:c r="AB102" s="78"/>
      <x:c r="AC102" s="78"/>
      <x:c r="AD102" s="78"/>
      <x:c r="AE102" s="78"/>
    </x:row>
    <x:row r="103" ht="24" customHeight="1">
      <x:c r="A103" s="78"/>
      <x:c r="B103" s="103"/>
      <x:c r="C103" s="105" t="str">
        <x:v>통합</x:v>
      </x:c>
      <x:c r="D103" s="101" t="str">
        <x:v>통합과학2</x:v>
      </x:c>
      <x:c r="E103" s="127"/>
      <x:c r="F103" s="128"/>
      <x:c r="G103" s="134"/>
      <x:c r="H103" s="128" t="n">
        <x:f>'기존안 과목내역'!I40</x:f>
        <x:v>4</x:v>
      </x:c>
      <x:c r="I103" s="128" t="n">
        <x:f>'공통융합 배정'!O43</x:f>
        <x:v>0</x:v>
      </x:c>
      <x:c r="J103" s="134" t="n">
        <x:f>'공통융합 배정'!P43</x:f>
        <x:v>0</x:v>
      </x:c>
      <x:c r="K103" s="128"/>
      <x:c r="L103" s="128"/>
      <x:c r="M103" s="134"/>
      <x:c r="N103" s="128"/>
      <x:c r="O103" s="128"/>
      <x:c r="P103" s="134"/>
      <x:c r="Q103" s="128"/>
      <x:c r="R103" s="128"/>
      <x:c r="S103" s="134"/>
      <x:c r="T103" s="128"/>
      <x:c r="U103" s="128"/>
      <x:c r="V103" s="137"/>
      <x:c r="W103" s="78"/>
      <x:c r="X103" s="78"/>
      <x:c r="Y103" s="78"/>
      <x:c r="Z103" s="78"/>
      <x:c r="AA103" s="78"/>
      <x:c r="AB103" s="78"/>
      <x:c r="AC103" s="78"/>
      <x:c r="AD103" s="78"/>
      <x:c r="AE103" s="78"/>
    </x:row>
    <x:row r="104" ht="24" customHeight="1">
      <x:c r="A104" s="78"/>
      <x:c r="B104" s="103"/>
      <x:c r="C104" s="105" t="str">
        <x:v>실험</x:v>
      </x:c>
      <x:c r="D104" s="101" t="str">
        <x:v>과학탐구실험2</x:v>
      </x:c>
      <x:c r="E104" s="127"/>
      <x:c r="F104" s="128"/>
      <x:c r="G104" s="134"/>
      <x:c r="H104" s="128" t="n">
        <x:f>'기존안 과목내역'!I41</x:f>
        <x:v>1</x:v>
      </x:c>
      <x:c r="I104" s="128" t="n">
        <x:f>'공통융합 배정'!O44</x:f>
        <x:v>5</x:v>
      </x:c>
      <x:c r="J104" s="134" t="n">
        <x:f>'공통융합 배정'!P44</x:f>
        <x:v>5</x:v>
      </x:c>
      <x:c r="K104" s="128"/>
      <x:c r="L104" s="128"/>
      <x:c r="M104" s="134"/>
      <x:c r="N104" s="128"/>
      <x:c r="O104" s="128"/>
      <x:c r="P104" s="134"/>
      <x:c r="Q104" s="128"/>
      <x:c r="R104" s="128"/>
      <x:c r="S104" s="134"/>
      <x:c r="T104" s="128"/>
      <x:c r="U104" s="128"/>
      <x:c r="V104" s="137"/>
      <x:c r="W104" s="78"/>
      <x:c r="X104" s="78"/>
      <x:c r="Y104" s="78"/>
      <x:c r="Z104" s="78"/>
      <x:c r="AA104" s="78"/>
      <x:c r="AB104" s="78"/>
      <x:c r="AC104" s="78"/>
      <x:c r="AD104" s="78"/>
      <x:c r="AE104" s="78"/>
    </x:row>
    <x:row r="105" ht="24" customHeight="1">
      <x:c r="A105" s="78"/>
      <x:c r="B105" s="103"/>
      <x:c r="C105" s="105" t="str">
        <x:v>융합</x:v>
      </x:c>
      <x:c r="D105" s="101" t="str">
        <x:v>과학의 역사와 문화</x:v>
      </x:c>
      <x:c r="E105" s="127"/>
      <x:c r="F105" s="128"/>
      <x:c r="G105" s="134"/>
      <x:c r="H105" s="128"/>
      <x:c r="I105" s="128"/>
      <x:c r="J105" s="134"/>
      <x:c r="K105" s="128"/>
      <x:c r="L105" s="128"/>
      <x:c r="M105" s="134"/>
      <x:c r="N105" s="128"/>
      <x:c r="O105" s="128"/>
      <x:c r="P105" s="134"/>
      <x:c r="Q105" s="128"/>
      <x:c r="R105" s="128"/>
      <x:c r="S105" s="134"/>
      <x:c r="T105" s="128" t="n">
        <x:f>'기존안 과목내역'!I59</x:f>
        <x:v>3</x:v>
      </x:c>
      <x:c r="U105" s="128" t="n">
        <x:f>'공통융합 배정'!O45</x:f>
        <x:v>2</x:v>
      </x:c>
      <x:c r="V105" s="137" t="n">
        <x:f>'공통융합 배정'!P45</x:f>
        <x:v>6</x:v>
      </x:c>
      <x:c r="W105" s="78"/>
      <x:c r="X105" s="78"/>
      <x:c r="Y105" s="78"/>
      <x:c r="Z105" s="78"/>
      <x:c r="AA105" s="78"/>
      <x:c r="AB105" s="78"/>
      <x:c r="AC105" s="78"/>
      <x:c r="AD105" s="78"/>
      <x:c r="AE105" s="78"/>
    </x:row>
    <x:row r="106" ht="24" customHeight="1">
      <x:c r="A106" s="78"/>
      <x:c r="B106" s="103"/>
      <x:c r="C106" s="105" t="str">
        <x:v>융합</x:v>
      </x:c>
      <x:c r="D106" s="101" t="str">
        <x:v>기후변화와 환경생태</x:v>
      </x:c>
      <x:c r="E106" s="127"/>
      <x:c r="F106" s="128"/>
      <x:c r="G106" s="134"/>
      <x:c r="H106" s="128"/>
      <x:c r="I106" s="128"/>
      <x:c r="J106" s="134"/>
      <x:c r="K106" s="128"/>
      <x:c r="L106" s="128"/>
      <x:c r="M106" s="134"/>
      <x:c r="N106" s="128"/>
      <x:c r="O106" s="128"/>
      <x:c r="P106" s="134"/>
      <x:c r="Q106" s="128"/>
      <x:c r="R106" s="128"/>
      <x:c r="S106" s="134"/>
      <x:c r="T106" s="128" t="n">
        <x:f>'기존안 과목내역'!I60</x:f>
        <x:v>3</x:v>
      </x:c>
      <x:c r="U106" s="128" t="n">
        <x:f>'공통융합 배정'!O46</x:f>
        <x:v>9</x:v>
      </x:c>
      <x:c r="V106" s="137" t="n">
        <x:f>'공통융합 배정'!P46</x:f>
        <x:v>27</x:v>
      </x:c>
      <x:c r="W106" s="78"/>
      <x:c r="X106" s="78"/>
      <x:c r="Y106" s="78"/>
      <x:c r="Z106" s="78"/>
      <x:c r="AA106" s="78"/>
      <x:c r="AB106" s="78"/>
      <x:c r="AC106" s="78"/>
      <x:c r="AD106" s="78"/>
      <x:c r="AE106" s="78"/>
    </x:row>
    <x:row r="107" ht="24" customHeight="1">
      <x:c r="A107" s="78"/>
      <x:c r="B107" s="103"/>
      <x:c r="C107" s="105" t="str">
        <x:v>융합</x:v>
      </x:c>
      <x:c r="D107" s="101" t="str">
        <x:v>융합과학 탐구</x:v>
      </x:c>
      <x:c r="E107" s="130"/>
      <x:c r="F107" s="131"/>
      <x:c r="G107" s="135"/>
      <x:c r="H107" s="131"/>
      <x:c r="I107" s="131"/>
      <x:c r="J107" s="135"/>
      <x:c r="K107" s="131"/>
      <x:c r="L107" s="131"/>
      <x:c r="M107" s="135"/>
      <x:c r="N107" s="131"/>
      <x:c r="O107" s="131"/>
      <x:c r="P107" s="135"/>
      <x:c r="Q107" s="131"/>
      <x:c r="R107" s="131"/>
      <x:c r="S107" s="135"/>
      <x:c r="T107" s="131" t="n">
        <x:f>'기존안 과목내역'!I61</x:f>
        <x:v>3</x:v>
      </x:c>
      <x:c r="U107" s="131" t="n">
        <x:f>'공통융합 배정'!O47</x:f>
        <x:v>2</x:v>
      </x:c>
      <x:c r="V107" s="138" t="n">
        <x:f>'공통융합 배정'!P47</x:f>
        <x:v>6</x:v>
      </x:c>
      <x:c r="W107" s="78"/>
      <x:c r="X107" s="78"/>
      <x:c r="Y107" s="78"/>
      <x:c r="Z107" s="78"/>
      <x:c r="AA107" s="78"/>
      <x:c r="AB107" s="78"/>
      <x:c r="AC107" s="78"/>
      <x:c r="AD107" s="78"/>
      <x:c r="AE107" s="78"/>
    </x:row>
    <x:row r="108" ht="30" customHeight="1">
      <x:c r="A108" s="78"/>
      <x:c r="B108" s="145" t="str">
        <x:v>사회 전체</x:v>
      </x:c>
      <x:c r="C108" s="145"/>
      <x:c r="D108" s="145"/>
      <x:c r="E108" s="145"/>
      <x:c r="F108" s="145"/>
      <x:c r="G108" s="145" t="n">
        <x:f>SUM(G13,G26,G40,G52)</x:f>
        <x:v>84</x:v>
      </x:c>
      <x:c r="H108" s="145"/>
      <x:c r="I108" s="145"/>
      <x:c r="J108" s="145" t="n">
        <x:f>SUM(J13,J26,J40,J52)</x:f>
        <x:v>84</x:v>
      </x:c>
      <x:c r="K108" s="145"/>
      <x:c r="L108" s="145"/>
      <x:c r="M108" s="145" t="n">
        <x:f>SUM(M13,M26,M40,M52)</x:f>
        <x:v>69</x:v>
      </x:c>
      <x:c r="N108" s="145"/>
      <x:c r="O108" s="145"/>
      <x:c r="P108" s="145" t="n">
        <x:f>SUM(P13,P26,P40,P52)</x:f>
        <x:v>66</x:v>
      </x:c>
      <x:c r="Q108" s="145"/>
      <x:c r="R108" s="145"/>
      <x:c r="S108" s="145" t="n">
        <x:f>SUM(S13,S26,S40,S52)</x:f>
        <x:v>75</x:v>
      </x:c>
      <x:c r="T108" s="145"/>
      <x:c r="U108" s="145"/>
      <x:c r="V108" s="145" t="n">
        <x:f>SUM(V13,V26,V40,V52)</x:f>
        <x:v>72</x:v>
      </x:c>
      <x:c r="W108" s="145" t="n">
        <x:f>IF(OR(COUNT(W13,W26,W40,W52)&lt;&gt;4,MIN(W13,W26,W40,W52)&lt;=0),"미정",SUM(W13,W26,W40,W52))</x:f>
        <x:v>12</x:v>
      </x:c>
      <x:c r="X108" s="145" t="n">
        <x:f>SUM(X13,X26,X40,X52)</x:f>
        <x:v>144</x:v>
      </x:c>
      <x:c r="Y108" s="145" t="n">
        <x:f>SUM(Y13,Y26,Y40,Y52)</x:f>
        <x:v>84</x:v>
      </x:c>
      <x:c r="Z108" s="145" t="n">
        <x:f>SUM(Z13,Z26,Z40,Z52)</x:f>
        <x:v>228</x:v>
      </x:c>
      <x:c r="AA108" s="146" t="n">
        <x:f>IF(OR(NOT(ISNUMBER(W108)),W108&lt;=0),"미정",Z108/W108)</x:f>
        <x:v>19</x:v>
      </x:c>
      <x:c r="AB108" s="145" t="n">
        <x:f>SUM(AB13,AB26,AB40,AB52)</x:f>
        <x:v>114</x:v>
      </x:c>
      <x:c r="AC108" s="145" t="n">
        <x:f>SUM(AC13,AC26,AC40,AC52)</x:f>
        <x:v>108</x:v>
      </x:c>
      <x:c r="AD108" s="145" t="n">
        <x:f>SUM(AD13,AD26,AD40,AD52)</x:f>
        <x:v>222</x:v>
      </x:c>
      <x:c r="AE108" s="146" t="n">
        <x:f>IF(OR(NOT(ISNUMBER(W108)),W108&lt;=0),"미정",AD108/W108)</x:f>
        <x:v>18.5</x:v>
      </x:c>
    </x:row>
    <x:row r="109" ht="30" customHeight="1">
      <x:c r="A109" s="78"/>
      <x:c r="B109" s="145" t="str">
        <x:v>과학 전체</x:v>
      </x:c>
      <x:c r="C109" s="145"/>
      <x:c r="D109" s="145"/>
      <x:c r="E109" s="145"/>
      <x:c r="F109" s="145"/>
      <x:c r="G109" s="145" t="n">
        <x:f>SUM(G64,G75,G86,G97)</x:f>
        <x:v>60</x:v>
      </x:c>
      <x:c r="H109" s="145"/>
      <x:c r="I109" s="145"/>
      <x:c r="J109" s="145" t="n">
        <x:f>SUM(J64,J75,J86,J97)</x:f>
        <x:v>60</x:v>
      </x:c>
      <x:c r="K109" s="145"/>
      <x:c r="L109" s="145"/>
      <x:c r="M109" s="145" t="n">
        <x:f>SUM(M64,M75,M86,M97)</x:f>
        <x:v>48</x:v>
      </x:c>
      <x:c r="N109" s="145"/>
      <x:c r="O109" s="145"/>
      <x:c r="P109" s="145" t="n">
        <x:f>SUM(P64,P75,P86,P97)</x:f>
        <x:v>51</x:v>
      </x:c>
      <x:c r="Q109" s="145"/>
      <x:c r="R109" s="145"/>
      <x:c r="S109" s="145" t="n">
        <x:f>SUM(S64,S75,S86,S97)</x:f>
        <x:v>81</x:v>
      </x:c>
      <x:c r="T109" s="145"/>
      <x:c r="U109" s="145"/>
      <x:c r="V109" s="145" t="n">
        <x:f>SUM(V64,V75,V86,V97)</x:f>
        <x:v>84</x:v>
      </x:c>
      <x:c r="W109" s="145" t="n">
        <x:f>IF(OR(COUNT(W64,W75,W86,W97)&lt;&gt;4,MIN(W64,W75,W86,W97)&lt;=0),"미정",SUM(W64,W75,W86,W97))</x:f>
        <x:v>11</x:v>
      </x:c>
      <x:c r="X109" s="145" t="n">
        <x:f>SUM(X64,X75,X86,X97)</x:f>
        <x:v>129</x:v>
      </x:c>
      <x:c r="Y109" s="145" t="n">
        <x:f>SUM(Y64,Y75,Y86,Y97)</x:f>
        <x:v>60</x:v>
      </x:c>
      <x:c r="Z109" s="145" t="n">
        <x:f>SUM(Z64,Z75,Z86,Z97)</x:f>
        <x:v>189</x:v>
      </x:c>
      <x:c r="AA109" s="146" t="n">
        <x:f>IF(OR(NOT(ISNUMBER(W109)),W109&lt;=0),"미정",Z109/W109)</x:f>
        <x:v>17.181818181818183</x:v>
      </x:c>
      <x:c r="AB109" s="145" t="n">
        <x:f>SUM(AB64,AB75,AB86,AB97)</x:f>
        <x:v>57</x:v>
      </x:c>
      <x:c r="AC109" s="145" t="n">
        <x:f>SUM(AC64,AC75,AC86,AC97)</x:f>
        <x:v>138</x:v>
      </x:c>
      <x:c r="AD109" s="145" t="n">
        <x:f>SUM(AD64,AD75,AD86,AD97)</x:f>
        <x:v>195</x:v>
      </x:c>
      <x:c r="AE109" s="146" t="n">
        <x:f>IF(OR(NOT(ISNUMBER(W109)),W109&lt;=0),"미정",AD109/W109)</x:f>
        <x:v>17.727272727272727</x:v>
      </x:c>
    </x:row>
    <x:row r="110" ht="24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  <x:c r="AA110" s="78"/>
      <x:c r="AB110" s="78"/>
      <x:c r="AC110" s="78"/>
      <x:c r="AD110" s="78"/>
      <x:c r="AE110" s="78"/>
    </x:row>
    <x:row r="111" ht="24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  <x:c r="AA111" s="78"/>
      <x:c r="AB111" s="78"/>
      <x:c r="AC111" s="78"/>
      <x:c r="AD111" s="78"/>
      <x:c r="AE111" s="78"/>
    </x:row>
    <x:row r="112" ht="24" customHeight="1">
      <x:c r="A112" s="78"/>
      <x:c r="B112" s="80" t="str">
        <x:v>자체 시수에는 통합·실험·융합과목을 넣지 않았습니다. 해당 과목은 배정 시수로만 합산하여 중복을 없앴습니다.</x:v>
      </x:c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  <x:c r="AA112" s="78"/>
      <x:c r="AB112" s="78"/>
      <x:c r="AC112" s="78"/>
      <x:c r="AD112" s="78"/>
      <x:c r="AE112" s="78"/>
    </x:row>
    <x:row r="113" ht="24" customHeight="1">
      <x:c r="A113" s="78"/>
      <x:c r="B113" s="80" t="str">
        <x:v>교사 수는 산정근거, 배정 반 수는 공통융합 배정 시트에서 수정합니다. 평균은 총시수 ÷ 교사 수로 계산합니다.</x:v>
      </x:c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  <x:c r="AA113" s="78"/>
      <x:c r="AB113" s="78"/>
      <x:c r="AC113" s="78"/>
      <x:c r="AD113" s="78"/>
      <x:c r="AE113" s="78"/>
    </x:row>
    <x:row r="114" ht="24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  <x:c r="AA114" s="78"/>
      <x:c r="AB114" s="78"/>
      <x:c r="AC114" s="78"/>
      <x:c r="AD114" s="78"/>
      <x:c r="AE114" s="78"/>
    </x:row>
    <x:row r="115" ht="24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  <x:c r="AA115" s="78"/>
      <x:c r="AB115" s="78"/>
      <x:c r="AC115" s="78"/>
      <x:c r="AD115" s="78"/>
      <x:c r="AE115" s="78"/>
    </x:row>
    <x:row r="116" ht="24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  <x:c r="AA116" s="78"/>
      <x:c r="AB116" s="78"/>
      <x:c r="AC116" s="78"/>
      <x:c r="AD116" s="78"/>
      <x:c r="AE116" s="78"/>
    </x:row>
    <x:row r="117" ht="24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  <x:c r="AA117" s="78"/>
      <x:c r="AB117" s="78"/>
      <x:c r="AC117" s="78"/>
      <x:c r="AD117" s="78"/>
      <x:c r="AE117" s="78"/>
    </x:row>
    <x:row r="118" ht="24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  <x:c r="AA118" s="78"/>
      <x:c r="AB118" s="78"/>
      <x:c r="AC118" s="78"/>
      <x:c r="AD118" s="78"/>
      <x:c r="AE118" s="78"/>
    </x:row>
    <x:row r="119" ht="24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  <x:c r="AA119" s="78"/>
      <x:c r="AB119" s="78"/>
      <x:c r="AC119" s="78"/>
      <x:c r="AD119" s="78"/>
      <x:c r="AE119" s="78"/>
    </x:row>
    <x:row r="120" ht="24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  <x:c r="AA120" s="78"/>
      <x:c r="AB120" s="78"/>
      <x:c r="AC120" s="78"/>
      <x:c r="AD120" s="78"/>
      <x:c r="AE120" s="78"/>
    </x:row>
    <x:row r="121" ht="24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  <x:c r="AA121" s="78"/>
      <x:c r="AB121" s="78"/>
      <x:c r="AC121" s="78"/>
      <x:c r="AD121" s="78"/>
      <x:c r="AE121" s="78"/>
    </x:row>
    <x:row r="122" ht="24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  <x:c r="AA122" s="78"/>
      <x:c r="AB122" s="78"/>
      <x:c r="AC122" s="78"/>
      <x:c r="AD122" s="78"/>
      <x:c r="AE122" s="78"/>
    </x:row>
    <x:row r="123" ht="24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  <x:c r="AA123" s="78"/>
      <x:c r="AB123" s="78"/>
      <x:c r="AC123" s="78"/>
      <x:c r="AD123" s="78"/>
      <x:c r="AE123" s="78"/>
    </x:row>
    <x:row r="124" ht="24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  <x:c r="AA124" s="78"/>
      <x:c r="AB124" s="78"/>
      <x:c r="AC124" s="78"/>
      <x:c r="AD124" s="78"/>
      <x:c r="AE124" s="78"/>
    </x:row>
    <x:row r="125" ht="24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  <x:c r="AA125" s="78"/>
      <x:c r="AB125" s="78"/>
      <x:c r="AC125" s="78"/>
      <x:c r="AD125" s="78"/>
      <x:c r="AE125" s="78"/>
    </x:row>
    <x:row r="126" ht="24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  <x:c r="AA126" s="78"/>
      <x:c r="AB126" s="78"/>
      <x:c r="AC126" s="78"/>
      <x:c r="AD126" s="78"/>
      <x:c r="AE126" s="78"/>
    </x:row>
    <x:row r="127" ht="24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  <x:c r="AA127" s="78"/>
      <x:c r="AB127" s="78"/>
      <x:c r="AC127" s="78"/>
      <x:c r="AD127" s="78"/>
      <x:c r="AE127" s="78"/>
    </x:row>
    <x:row r="128" ht="24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  <x:c r="AA128" s="78"/>
      <x:c r="AB128" s="78"/>
      <x:c r="AC128" s="78"/>
      <x:c r="AD128" s="78"/>
      <x:c r="AE128" s="78"/>
    </x:row>
    <x:row r="129" ht="24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  <x:c r="AA129" s="78"/>
      <x:c r="AB129" s="78"/>
      <x:c r="AC129" s="78"/>
      <x:c r="AD129" s="78"/>
      <x:c r="AE129" s="78"/>
    </x:row>
    <x:row r="130" ht="24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  <x:c r="AA130" s="78"/>
      <x:c r="AB130" s="78"/>
      <x:c r="AC130" s="78"/>
      <x:c r="AD130" s="78"/>
      <x:c r="AE130" s="78"/>
    </x:row>
    <x:row r="131" ht="24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  <x:c r="AA131" s="78"/>
      <x:c r="AB131" s="78"/>
      <x:c r="AC131" s="78"/>
      <x:c r="AD131" s="78"/>
      <x:c r="AE131" s="78"/>
    </x:row>
    <x:row r="132" ht="24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  <x:c r="AA132" s="78"/>
      <x:c r="AB132" s="78"/>
      <x:c r="AC132" s="78"/>
      <x:c r="AD132" s="78"/>
      <x:c r="AE132" s="78"/>
    </x:row>
    <x:row r="133" ht="24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  <x:c r="AA133" s="78"/>
      <x:c r="AB133" s="78"/>
      <x:c r="AC133" s="78"/>
      <x:c r="AD133" s="78"/>
      <x:c r="AE133" s="78"/>
    </x:row>
    <x:row r="134" ht="24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  <x:c r="AA134" s="78"/>
      <x:c r="AB134" s="78"/>
      <x:c r="AC134" s="78"/>
      <x:c r="AD134" s="78"/>
      <x:c r="AE134" s="78"/>
    </x:row>
    <x:row r="135" ht="24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  <x:c r="AA135" s="78"/>
      <x:c r="AB135" s="78"/>
      <x:c r="AC135" s="78"/>
      <x:c r="AD135" s="78"/>
      <x:c r="AE135" s="78"/>
    </x:row>
    <x:row r="136" ht="24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  <x:c r="AA136" s="78"/>
      <x:c r="AB136" s="78"/>
      <x:c r="AC136" s="78"/>
      <x:c r="AD136" s="78"/>
      <x:c r="AE136" s="78"/>
    </x:row>
    <x:row r="137" ht="24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  <x:c r="AA137" s="78"/>
      <x:c r="AB137" s="78"/>
      <x:c r="AC137" s="78"/>
      <x:c r="AD137" s="78"/>
      <x:c r="AE137" s="78"/>
    </x:row>
    <x:row r="138" ht="24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  <x:c r="AA138" s="78"/>
      <x:c r="AB138" s="78"/>
      <x:c r="AC138" s="78"/>
      <x:c r="AD138" s="78"/>
      <x:c r="AE138" s="78"/>
    </x:row>
    <x:row r="139" ht="24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  <x:c r="AA139" s="78"/>
      <x:c r="AB139" s="78"/>
      <x:c r="AC139" s="78"/>
      <x:c r="AD139" s="78"/>
      <x:c r="AE139" s="78"/>
    </x:row>
    <x:row r="140" ht="24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  <x:c r="AA140" s="78"/>
      <x:c r="AB140" s="78"/>
      <x:c r="AC140" s="78"/>
      <x:c r="AD140" s="78"/>
      <x:c r="AE140" s="78"/>
    </x:row>
  </x:sheetData>
  <x:mergeCells>
    <x:mergeCell ref="B9:D10"/>
    <x:mergeCell ref="B11:B12"/>
    <x:mergeCell ref="C11:C12"/>
    <x:mergeCell ref="D11:D12"/>
    <x:mergeCell ref="E9:J9"/>
    <x:mergeCell ref="E10:J10"/>
    <x:mergeCell ref="E11:G11"/>
    <x:mergeCell ref="H11:J11"/>
    <x:mergeCell ref="K9:P9"/>
    <x:mergeCell ref="K10:P10"/>
    <x:mergeCell ref="K11:M11"/>
    <x:mergeCell ref="N11:P11"/>
    <x:mergeCell ref="Q9:V9"/>
    <x:mergeCell ref="Q10:V10"/>
    <x:mergeCell ref="Q11:S11"/>
    <x:mergeCell ref="T11:V11"/>
    <x:mergeCell ref="W9:W12"/>
    <x:mergeCell ref="X9:AA10"/>
    <x:mergeCell ref="X11:X12"/>
    <x:mergeCell ref="Y11:Y12"/>
    <x:mergeCell ref="Z11:Z12"/>
    <x:mergeCell ref="AA11:AA12"/>
    <x:mergeCell ref="AB9:AE10"/>
    <x:mergeCell ref="AB11:AB12"/>
    <x:mergeCell ref="AC11:AC12"/>
    <x:mergeCell ref="AD11:AD12"/>
    <x:mergeCell ref="AE11:AE12"/>
    <x:mergeCell ref="B13:D13"/>
    <x:mergeCell ref="B26:D26"/>
    <x:mergeCell ref="B40:D40"/>
    <x:mergeCell ref="B52:D52"/>
    <x:mergeCell ref="B64:D64"/>
    <x:mergeCell ref="B75:D75"/>
    <x:mergeCell ref="B86:D86"/>
    <x:mergeCell ref="B97:D97"/>
    <x:mergeCell ref="B108:D108"/>
    <x:mergeCell ref="B109:D10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8949D"/>
  </x:sheetPr>
  <x:sheetViews>
    <x:sheetView showGridLines="0" workbookViewId="0" tabSelected="0">
      <x:pane xSplit="4" ySplit="12" topLeftCell="E13" activePane="bottomRight" state="frozen"/>
    </x:sheetView>
  </x:sheetViews>
  <x:sheetFormatPr defaultRowHeight="15"/>
  <x:cols>
    <x:col min="1" max="1" width="2.25" hidden="0" customWidth="1"/>
    <x:col min="2" max="2" width="9" hidden="0" customWidth="1"/>
    <x:col min="3" max="3" width="6" hidden="0" customWidth="1"/>
    <x:col min="4" max="4" width="28.1299991607666" hidden="0" customWidth="1"/>
    <x:col min="23" max="23" width="6" hidden="0" customWidth="1"/>
    <x:col min="24" max="24" width="8" hidden="0" customWidth="1"/>
    <x:col min="25" max="25" width="8" hidden="0" customWidth="1"/>
    <x:col min="26" max="26" width="8" hidden="0" customWidth="1"/>
    <x:col min="27" max="27" width="9.75" hidden="0" customWidth="1"/>
    <x:col min="28" max="28" width="8" hidden="0" customWidth="1"/>
    <x:col min="29" max="29" width="8" hidden="0" customWidth="1"/>
    <x:col min="30" max="30" width="8" hidden="0" customWidth="1"/>
    <x:col min="31" max="31" width="9.75" hidden="0" customWidth="1"/>
    <x:col min="5" max="5" width="5.380000114440918" hidden="0" customWidth="1"/>
    <x:col min="6" max="6" width="5.380000114440918" hidden="0" customWidth="1"/>
    <x:col min="7" max="7" width="6" hidden="0" customWidth="1"/>
    <x:col min="8" max="8" width="5.380000114440918" hidden="0" customWidth="1"/>
    <x:col min="9" max="9" width="5.380000114440918" hidden="0" customWidth="1"/>
    <x:col min="10" max="10" width="6" hidden="0" customWidth="1"/>
    <x:col min="11" max="11" width="5.380000114440918" hidden="0" customWidth="1"/>
    <x:col min="12" max="12" width="5.380000114440918" hidden="0" customWidth="1"/>
    <x:col min="13" max="13" width="6" hidden="0" customWidth="1"/>
    <x:col min="14" max="14" width="5.380000114440918" hidden="0" customWidth="1"/>
    <x:col min="15" max="15" width="5.380000114440918" hidden="0" customWidth="1"/>
    <x:col min="16" max="16" width="6" hidden="0" customWidth="1"/>
    <x:col min="17" max="17" width="5.380000114440918" hidden="0" customWidth="1"/>
    <x:col min="18" max="18" width="5.380000114440918" hidden="0" customWidth="1"/>
    <x:col min="19" max="19" width="6" hidden="0" customWidth="1"/>
    <x:col min="20" max="20" width="5.380000114440918" hidden="0" customWidth="1"/>
    <x:col min="21" max="21" width="5.380000114440918" hidden="0" customWidth="1"/>
    <x:col min="22" max="22" width="6" hidden="0" customWidth="1"/>
  </x:cols>
  <x:sheetData>
    <x:row r="1" ht="12" customHeight="1">
      <x:c r="A1" s="78"/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  <x:c r="AA1" s="78"/>
      <x:c r="AB1" s="78"/>
      <x:c r="AC1" s="78"/>
      <x:c r="AD1" s="78"/>
      <x:c r="AE1" s="78"/>
    </x:row>
    <x:row r="2" ht="34" customHeight="1">
      <x:c r="A2" s="78"/>
      <x:c r="B2" s="4" t="str">
        <x:v>2028학년도 사회·과학 주간수업 배당표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</x:row>
    <x:row r="3" ht="24" customHeight="1">
      <x:c r="A3" s="78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/>
      <x:c r="AB3" s="79"/>
      <x:c r="AC3" s="79"/>
      <x:c r="AD3" s="79"/>
      <x:c r="AE3" s="79"/>
    </x:row>
    <x:row r="4" ht="24" customHeight="1">
      <x:c r="A4" s="78"/>
      <x:c r="B4" s="80" t="str">
        <x:v>각 교과의 자체 과목과 배정받는 통합·실험·융합과목을 표시했습니다. 반 수 0은 해당 교과에 배정 또는 개설이 없는 경우입니다.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  <x:c r="AA4" s="78"/>
      <x:c r="AB4" s="78"/>
      <x:c r="AC4" s="78"/>
      <x:c r="AD4" s="78"/>
      <x:c r="AE4" s="78"/>
    </x:row>
    <x:row r="5" ht="24" customHeight="1">
      <x:c r="A5" s="78"/>
      <x:c r="B5" s="80" t="str">
        <x:v>빈칸은 해당 학년·학기에 편성하지 않은 과목입니다. 단위는 주당 시수이며 창체·교양은 제외했습니다.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</x:row>
    <x:row r="6" ht="24" customHeight="1">
      <x:c r="A6" s="78"/>
      <x:c r="B6" s="80" t="str">
        <x:v>기존 과목 비율과 신설 과목 평균으로 선택군 총반수를 맞춘 가정안입니다.</x:v>
      </x:c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</x:row>
    <x:row r="7" ht="24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  <x:c r="AA7" s="78"/>
      <x:c r="AB7" s="78"/>
      <x:c r="AC7" s="78"/>
      <x:c r="AD7" s="78"/>
      <x:c r="AE7" s="78"/>
    </x:row>
    <x:row r="8" ht="28" customHeight="1">
      <x:c r="A8" s="78"/>
      <x:c r="B8" s="82" t="str">
        <x:v>2028학년도 기존안 · 변경안도 동일</x:v>
      </x:c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</x:row>
    <x:row r="9" ht="26" customHeight="1">
      <x:c r="A9" s="78"/>
      <x:c r="B9" s="98" t="str">
        <x:v>담당 교과와 개설 과목</x:v>
      </x:c>
      <x:c r="C9" s="98"/>
      <x:c r="D9" s="98"/>
      <x:c r="E9" s="98" t="str">
        <x:v>1학년 (2028 입학생)</x:v>
      </x:c>
      <x:c r="F9" s="98"/>
      <x:c r="G9" s="98"/>
      <x:c r="H9" s="98"/>
      <x:c r="I9" s="98"/>
      <x:c r="J9" s="98"/>
      <x:c r="K9" s="98" t="str">
        <x:v>2학년 (2027 입학생)</x:v>
      </x:c>
      <x:c r="L9" s="98"/>
      <x:c r="M9" s="98"/>
      <x:c r="N9" s="98"/>
      <x:c r="O9" s="98"/>
      <x:c r="P9" s="98"/>
      <x:c r="Q9" s="98" t="str">
        <x:v>3학년 (2026 입학생)</x:v>
      </x:c>
      <x:c r="R9" s="98"/>
      <x:c r="S9" s="98"/>
      <x:c r="T9" s="98"/>
      <x:c r="U9" s="98"/>
      <x:c r="V9" s="98"/>
      <x:c r="W9" s="98" t="str">
        <x:v>교사
수</x:v>
      </x:c>
      <x:c r="X9" s="98" t="str">
        <x:v>1학기 교과별 시수와 평균</x:v>
      </x:c>
      <x:c r="Y9" s="98"/>
      <x:c r="Z9" s="98"/>
      <x:c r="AA9" s="98"/>
      <x:c r="AB9" s="98" t="str">
        <x:v>2학기 교과별 시수와 평균</x:v>
      </x:c>
      <x:c r="AC9" s="98"/>
      <x:c r="AD9" s="98"/>
      <x:c r="AE9" s="98"/>
    </x:row>
    <x:row r="10" ht="26" customHeight="1">
      <x:c r="A10" s="78"/>
      <x:c r="B10" s="98"/>
      <x:c r="C10" s="98"/>
      <x:c r="D10" s="98"/>
      <x:c r="E10" s="99" t="n">
        <x:v>12</x:v>
      </x:c>
      <x:c r="F10" s="98"/>
      <x:c r="G10" s="98"/>
      <x:c r="H10" s="98"/>
      <x:c r="I10" s="98"/>
      <x:c r="J10" s="98"/>
      <x:c r="K10" s="99" t="n">
        <x:v>12</x:v>
      </x:c>
      <x:c r="L10" s="98"/>
      <x:c r="M10" s="98"/>
      <x:c r="N10" s="98"/>
      <x:c r="O10" s="98"/>
      <x:c r="P10" s="98"/>
      <x:c r="Q10" s="99" t="n">
        <x:v>13</x:v>
      </x:c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8"/>
      <x:c r="AE10" s="98"/>
    </x:row>
    <x:row r="11" ht="26" customHeight="1">
      <x:c r="A11" s="78"/>
      <x:c r="B11" s="98" t="str">
        <x:v>담당
교과</x:v>
      </x:c>
      <x:c r="C11" s="98" t="str">
        <x:v>구분</x:v>
      </x:c>
      <x:c r="D11" s="98" t="str">
        <x:v>과목명</x:v>
      </x:c>
      <x:c r="E11" s="98" t="str">
        <x:v>1학기</x:v>
      </x:c>
      <x:c r="F11" s="98"/>
      <x:c r="G11" s="98"/>
      <x:c r="H11" s="98" t="str">
        <x:v>2학기</x:v>
      </x:c>
      <x:c r="I11" s="98"/>
      <x:c r="J11" s="98"/>
      <x:c r="K11" s="98" t="str">
        <x:v>1학기</x:v>
      </x:c>
      <x:c r="L11" s="98"/>
      <x:c r="M11" s="98"/>
      <x:c r="N11" s="98" t="str">
        <x:v>2학기</x:v>
      </x:c>
      <x:c r="O11" s="98"/>
      <x:c r="P11" s="98"/>
      <x:c r="Q11" s="98" t="str">
        <x:v>1학기</x:v>
      </x:c>
      <x:c r="R11" s="98"/>
      <x:c r="S11" s="98"/>
      <x:c r="T11" s="98" t="str">
        <x:v>2학기</x:v>
      </x:c>
      <x:c r="U11" s="98"/>
      <x:c r="V11" s="98"/>
      <x:c r="W11" s="98"/>
      <x:c r="X11" s="98" t="str">
        <x:v>자체
시수</x:v>
      </x:c>
      <x:c r="Y11" s="98" t="str">
        <x:v>배정
시수</x:v>
      </x:c>
      <x:c r="Z11" s="98" t="str">
        <x:v>총시수</x:v>
      </x:c>
      <x:c r="AA11" s="98" t="str">
        <x:v>교사 1인
평균</x:v>
      </x:c>
      <x:c r="AB11" s="98" t="str">
        <x:v>자체
시수</x:v>
      </x:c>
      <x:c r="AC11" s="98" t="str">
        <x:v>배정
시수</x:v>
      </x:c>
      <x:c r="AD11" s="98" t="str">
        <x:v>총시수</x:v>
      </x:c>
      <x:c r="AE11" s="98" t="str">
        <x:v>교사 1인
평균</x:v>
      </x:c>
    </x:row>
    <x:row r="12" ht="26" customHeight="1">
      <x:c r="A12" s="78"/>
      <x:c r="B12" s="98"/>
      <x:c r="C12" s="98"/>
      <x:c r="D12" s="98"/>
      <x:c r="E12" s="98" t="str">
        <x:v>반당
시수</x:v>
      </x:c>
      <x:c r="F12" s="98" t="str">
        <x:v>개설
반 수</x:v>
      </x:c>
      <x:c r="G12" s="98" t="str">
        <x:v>교과
시수</x:v>
      </x:c>
      <x:c r="H12" s="98" t="str">
        <x:v>반당
시수</x:v>
      </x:c>
      <x:c r="I12" s="98" t="str">
        <x:v>개설
반 수</x:v>
      </x:c>
      <x:c r="J12" s="98" t="str">
        <x:v>교과
시수</x:v>
      </x:c>
      <x:c r="K12" s="98" t="str">
        <x:v>반당
시수</x:v>
      </x:c>
      <x:c r="L12" s="98" t="str">
        <x:v>개설
반 수</x:v>
      </x:c>
      <x:c r="M12" s="98" t="str">
        <x:v>교과
시수</x:v>
      </x:c>
      <x:c r="N12" s="98" t="str">
        <x:v>반당
시수</x:v>
      </x:c>
      <x:c r="O12" s="98" t="str">
        <x:v>개설
반 수</x:v>
      </x:c>
      <x:c r="P12" s="98" t="str">
        <x:v>교과
시수</x:v>
      </x:c>
      <x:c r="Q12" s="98" t="str">
        <x:v>반당
시수</x:v>
      </x:c>
      <x:c r="R12" s="98" t="str">
        <x:v>개설
반 수</x:v>
      </x:c>
      <x:c r="S12" s="98" t="str">
        <x:v>교과
시수</x:v>
      </x:c>
      <x:c r="T12" s="98" t="str">
        <x:v>반당
시수</x:v>
      </x:c>
      <x:c r="U12" s="98" t="str">
        <x:v>개설
반 수</x:v>
      </x:c>
      <x:c r="V12" s="98" t="str">
        <x:v>교과
시수</x:v>
      </x:c>
      <x:c r="W12" s="98"/>
      <x:c r="X12" s="98"/>
      <x:c r="Y12" s="98"/>
      <x:c r="Z12" s="98"/>
      <x:c r="AA12" s="98"/>
      <x:c r="AB12" s="98"/>
      <x:c r="AC12" s="98"/>
      <x:c r="AD12" s="98"/>
      <x:c r="AE12" s="98"/>
    </x:row>
    <x:row r="13" ht="30" customHeight="1">
      <x:c r="A13" s="78"/>
      <x:c r="B13" s="141" t="str">
        <x:v>역사 합계</x:v>
      </x:c>
      <x:c r="C13" s="141"/>
      <x:c r="D13" s="141"/>
      <x:c r="E13" s="141"/>
      <x:c r="F13" s="141"/>
      <x:c r="G13" s="141" t="n">
        <x:f>SUM(G14,G18)</x:f>
        <x:v>36</x:v>
      </x:c>
      <x:c r="H13" s="141"/>
      <x:c r="I13" s="141"/>
      <x:c r="J13" s="141" t="n">
        <x:f>SUM(J16,J22)</x:f>
        <x:v>44</x:v>
      </x:c>
      <x:c r="K13" s="141"/>
      <x:c r="L13" s="141"/>
      <x:c r="M13" s="141" t="n">
        <x:f>SUM(M15)</x:f>
        <x:v>9</x:v>
      </x:c>
      <x:c r="N13" s="141"/>
      <x:c r="O13" s="141"/>
      <x:c r="P13" s="141" t="n">
        <x:f>SUM(P17)</x:f>
        <x:v>6</x:v>
      </x:c>
      <x:c r="Q13" s="141"/>
      <x:c r="R13" s="141"/>
      <x:c r="S13" s="141" t="n">
        <x:f>SUM(S19,S20,S21)</x:f>
        <x:v>12</x:v>
      </x:c>
      <x:c r="T13" s="141"/>
      <x:c r="U13" s="141"/>
      <x:c r="V13" s="141" t="n">
        <x:f>SUM(V23,V24,V25)</x:f>
        <x:v>0</x:v>
      </x:c>
      <x:c r="W13" s="141" t="n">
        <x:f>IF(ISNUMBER('산정근거'!C12),'산정근거'!C12,"미정")</x:f>
        <x:v>3</x:v>
      </x:c>
      <x:c r="X13" s="143" t="n">
        <x:f>SUM(G14,M15)</x:f>
        <x:v>45</x:v>
      </x:c>
      <x:c r="Y13" s="143" t="n">
        <x:f>SUM(G18,S19,S20,S21)</x:f>
        <x:v>12</x:v>
      </x:c>
      <x:c r="Z13" s="143" t="n">
        <x:f>X13+Y13</x:f>
        <x:v>57</x:v>
      </x:c>
      <x:c r="AA13" s="144" t="n">
        <x:f>IF(OR(NOT(ISNUMBER(W13)),W13&lt;=0),"미정",Z13/W13)</x:f>
        <x:v>19</x:v>
      </x:c>
      <x:c r="AB13" s="143" t="n">
        <x:f>SUM(J16,P17)</x:f>
        <x:v>42</x:v>
      </x:c>
      <x:c r="AC13" s="143" t="n">
        <x:f>SUM(J22,V23,V24,V25)</x:f>
        <x:v>8</x:v>
      </x:c>
      <x:c r="AD13" s="143" t="n">
        <x:f>AB13+AC13</x:f>
        <x:v>50</x:v>
      </x:c>
      <x:c r="AE13" s="144" t="n">
        <x:f>IF(OR(NOT(ISNUMBER(W13)),W13&lt;=0),"미정",AD13/W13)</x:f>
        <x:v>16.666666666666668</x:v>
      </x:c>
    </x:row>
    <x:row r="14" ht="24" customHeight="1">
      <x:c r="A14" s="78"/>
      <x:c r="B14" s="103" t="str">
        <x:v>역사</x:v>
      </x:c>
      <x:c r="C14" s="104" t="str">
        <x:v>자체</x:v>
      </x:c>
      <x:c r="D14" s="81" t="str">
        <x:v>한국사1</x:v>
      </x:c>
      <x:c r="E14" s="124" t="n">
        <x:f>'기존안 과목내역'!I62</x:f>
        <x:v>3</x:v>
      </x:c>
      <x:c r="F14" s="125" t="n">
        <x:f>'기존안 과목내역'!J62</x:f>
        <x:v>12</x:v>
      </x:c>
      <x:c r="G14" s="133" t="n">
        <x:f>E14*F14</x:f>
        <x:v>36</x:v>
      </x:c>
      <x:c r="H14" s="125"/>
      <x:c r="I14" s="125"/>
      <x:c r="J14" s="133"/>
      <x:c r="K14" s="125"/>
      <x:c r="L14" s="125"/>
      <x:c r="M14" s="133"/>
      <x:c r="N14" s="125"/>
      <x:c r="O14" s="125"/>
      <x:c r="P14" s="133"/>
      <x:c r="Q14" s="125"/>
      <x:c r="R14" s="125"/>
      <x:c r="S14" s="133"/>
      <x:c r="T14" s="125"/>
      <x:c r="U14" s="125"/>
      <x:c r="V14" s="136"/>
      <x:c r="W14" s="78"/>
      <x:c r="X14" s="78"/>
      <x:c r="Y14" s="78"/>
      <x:c r="Z14" s="78"/>
      <x:c r="AA14" s="78"/>
      <x:c r="AB14" s="78"/>
      <x:c r="AC14" s="78"/>
      <x:c r="AD14" s="78"/>
      <x:c r="AE14" s="78"/>
    </x:row>
    <x:row r="15" ht="24" customHeight="1">
      <x:c r="A15" s="78"/>
      <x:c r="B15" s="103"/>
      <x:c r="C15" s="104" t="str">
        <x:v>자체</x:v>
      </x:c>
      <x:c r="D15" s="81" t="str">
        <x:v>세계사</x:v>
      </x:c>
      <x:c r="E15" s="127"/>
      <x:c r="F15" s="128"/>
      <x:c r="G15" s="134"/>
      <x:c r="H15" s="128"/>
      <x:c r="I15" s="128"/>
      <x:c r="J15" s="134"/>
      <x:c r="K15" s="128" t="n">
        <x:f>'기존안 과목내역'!I67</x:f>
        <x:v>3</x:v>
      </x:c>
      <x:c r="L15" s="128" t="n">
        <x:f>'기존안 과목내역'!J67</x:f>
        <x:v>3</x:v>
      </x:c>
      <x:c r="M15" s="134" t="n">
        <x:f>K15*L15</x:f>
        <x:v>9</x:v>
      </x:c>
      <x:c r="N15" s="128"/>
      <x:c r="O15" s="128"/>
      <x:c r="P15" s="134"/>
      <x:c r="Q15" s="128"/>
      <x:c r="R15" s="128"/>
      <x:c r="S15" s="134"/>
      <x:c r="T15" s="128"/>
      <x:c r="U15" s="128"/>
      <x:c r="V15" s="137"/>
      <x:c r="W15" s="78"/>
      <x:c r="X15" s="78"/>
      <x:c r="Y15" s="78"/>
      <x:c r="Z15" s="78"/>
      <x:c r="AA15" s="78"/>
      <x:c r="AB15" s="78"/>
      <x:c r="AC15" s="78"/>
      <x:c r="AD15" s="78"/>
      <x:c r="AE15" s="78"/>
    </x:row>
    <x:row r="16" ht="24" customHeight="1">
      <x:c r="A16" s="78"/>
      <x:c r="B16" s="103"/>
      <x:c r="C16" s="104" t="str">
        <x:v>자체</x:v>
      </x:c>
      <x:c r="D16" s="81" t="str">
        <x:v>한국사2</x:v>
      </x:c>
      <x:c r="E16" s="127"/>
      <x:c r="F16" s="128"/>
      <x:c r="G16" s="134"/>
      <x:c r="H16" s="128" t="n">
        <x:f>'기존안 과목내역'!I86</x:f>
        <x:v>3</x:v>
      </x:c>
      <x:c r="I16" s="128" t="n">
        <x:f>'기존안 과목내역'!J86</x:f>
        <x:v>12</x:v>
      </x:c>
      <x:c r="J16" s="134" t="n">
        <x:f>H16*I16</x:f>
        <x:v>36</x:v>
      </x:c>
      <x:c r="K16" s="128"/>
      <x:c r="L16" s="128"/>
      <x:c r="M16" s="134"/>
      <x:c r="N16" s="128"/>
      <x:c r="O16" s="128"/>
      <x:c r="P16" s="134"/>
      <x:c r="Q16" s="128"/>
      <x:c r="R16" s="128"/>
      <x:c r="S16" s="134"/>
      <x:c r="T16" s="128"/>
      <x:c r="U16" s="128"/>
      <x:c r="V16" s="137"/>
      <x:c r="W16" s="78"/>
      <x:c r="X16" s="78"/>
      <x:c r="Y16" s="78"/>
      <x:c r="Z16" s="78"/>
      <x:c r="AA16" s="78"/>
      <x:c r="AB16" s="78"/>
      <x:c r="AC16" s="78"/>
      <x:c r="AD16" s="78"/>
      <x:c r="AE16" s="78"/>
    </x:row>
    <x:row r="17" ht="24" customHeight="1">
      <x:c r="A17" s="78"/>
      <x:c r="B17" s="103"/>
      <x:c r="C17" s="104" t="str">
        <x:v>자체</x:v>
      </x:c>
      <x:c r="D17" s="81" t="str">
        <x:v>동아시아 역사 기행</x:v>
      </x:c>
      <x:c r="E17" s="127"/>
      <x:c r="F17" s="128"/>
      <x:c r="G17" s="134"/>
      <x:c r="H17" s="128"/>
      <x:c r="I17" s="128"/>
      <x:c r="J17" s="134"/>
      <x:c r="K17" s="128"/>
      <x:c r="L17" s="128"/>
      <x:c r="M17" s="134"/>
      <x:c r="N17" s="128" t="n">
        <x:f>'기존안 과목내역'!I90</x:f>
        <x:v>3</x:v>
      </x:c>
      <x:c r="O17" s="128" t="n">
        <x:f>'기존안 과목내역'!J90</x:f>
        <x:v>2</x:v>
      </x:c>
      <x:c r="P17" s="134" t="n">
        <x:f>N17*O17</x:f>
        <x:v>6</x:v>
      </x:c>
      <x:c r="Q17" s="128"/>
      <x:c r="R17" s="128"/>
      <x:c r="S17" s="134"/>
      <x:c r="T17" s="128"/>
      <x:c r="U17" s="128"/>
      <x:c r="V17" s="137"/>
      <x:c r="W17" s="78"/>
      <x:c r="X17" s="78"/>
      <x:c r="Y17" s="78"/>
      <x:c r="Z17" s="78"/>
      <x:c r="AA17" s="78"/>
      <x:c r="AB17" s="78"/>
      <x:c r="AC17" s="78"/>
      <x:c r="AD17" s="78"/>
      <x:c r="AE17" s="78"/>
    </x:row>
    <x:row r="18" ht="24" customHeight="1">
      <x:c r="A18" s="78"/>
      <x:c r="B18" s="103"/>
      <x:c r="C18" s="105" t="str">
        <x:v>통합</x:v>
      </x:c>
      <x:c r="D18" s="101" t="str">
        <x:v>통합사회1</x:v>
      </x:c>
      <x:c r="E18" s="127" t="n">
        <x:f>'기존안 과목내역'!I63</x:f>
        <x:v>4</x:v>
      </x:c>
      <x:c r="F18" s="128" t="n">
        <x:f>'공통융합 배정'!I21</x:f>
        <x:v>0</x:v>
      </x:c>
      <x:c r="G18" s="134" t="n">
        <x:f>'공통융합 배정'!J21</x:f>
        <x:v>0</x:v>
      </x:c>
      <x:c r="H18" s="128"/>
      <x:c r="I18" s="128"/>
      <x:c r="J18" s="134"/>
      <x:c r="K18" s="128"/>
      <x:c r="L18" s="128"/>
      <x:c r="M18" s="134"/>
      <x:c r="N18" s="128"/>
      <x:c r="O18" s="128"/>
      <x:c r="P18" s="134"/>
      <x:c r="Q18" s="128"/>
      <x:c r="R18" s="128"/>
      <x:c r="S18" s="134"/>
      <x:c r="T18" s="128"/>
      <x:c r="U18" s="128"/>
      <x:c r="V18" s="137"/>
      <x:c r="W18" s="78"/>
      <x:c r="X18" s="78"/>
      <x:c r="Y18" s="78"/>
      <x:c r="Z18" s="78"/>
      <x:c r="AA18" s="78"/>
      <x:c r="AB18" s="78"/>
      <x:c r="AC18" s="78"/>
      <x:c r="AD18" s="78"/>
      <x:c r="AE18" s="78"/>
    </x:row>
    <x:row r="19" ht="24" customHeight="1">
      <x:c r="A19" s="78"/>
      <x:c r="B19" s="103"/>
      <x:c r="C19" s="105" t="str">
        <x:v>융합</x:v>
      </x:c>
      <x:c r="D19" s="101" t="str">
        <x:v>기후변화와 지속가능한 세계</x:v>
      </x:c>
      <x:c r="E19" s="127"/>
      <x:c r="F19" s="128"/>
      <x:c r="G19" s="134"/>
      <x:c r="H19" s="128"/>
      <x:c r="I19" s="128"/>
      <x:c r="J19" s="134"/>
      <x:c r="K19" s="128"/>
      <x:c r="L19" s="128"/>
      <x:c r="M19" s="134"/>
      <x:c r="N19" s="128"/>
      <x:c r="O19" s="128"/>
      <x:c r="P19" s="134"/>
      <x:c r="Q19" s="128" t="n">
        <x:f>'기존안 과목내역'!I78</x:f>
        <x:v>3</x:v>
      </x:c>
      <x:c r="R19" s="128" t="n">
        <x:f>'공통융합 배정'!I22</x:f>
        <x:v>0</x:v>
      </x:c>
      <x:c r="S19" s="134" t="n">
        <x:f>'공통융합 배정'!J22</x:f>
        <x:v>0</x:v>
      </x:c>
      <x:c r="T19" s="128"/>
      <x:c r="U19" s="128"/>
      <x:c r="V19" s="137"/>
      <x:c r="W19" s="78"/>
      <x:c r="X19" s="78"/>
      <x:c r="Y19" s="78"/>
      <x:c r="Z19" s="78"/>
      <x:c r="AA19" s="78"/>
      <x:c r="AB19" s="78"/>
      <x:c r="AC19" s="78"/>
      <x:c r="AD19" s="78"/>
      <x:c r="AE19" s="78"/>
    </x:row>
    <x:row r="20" ht="24" customHeight="1">
      <x:c r="A20" s="78"/>
      <x:c r="B20" s="103"/>
      <x:c r="C20" s="105" t="str">
        <x:v>융합</x:v>
      </x:c>
      <x:c r="D20" s="101" t="str">
        <x:v>사회문제 탐구</x:v>
      </x:c>
      <x:c r="E20" s="127"/>
      <x:c r="F20" s="128"/>
      <x:c r="G20" s="134"/>
      <x:c r="H20" s="128"/>
      <x:c r="I20" s="128"/>
      <x:c r="J20" s="134"/>
      <x:c r="K20" s="128"/>
      <x:c r="L20" s="128"/>
      <x:c r="M20" s="134"/>
      <x:c r="N20" s="128"/>
      <x:c r="O20" s="128"/>
      <x:c r="P20" s="134"/>
      <x:c r="Q20" s="128" t="n">
        <x:f>'기존안 과목내역'!I79</x:f>
        <x:v>3</x:v>
      </x:c>
      <x:c r="R20" s="128" t="n">
        <x:f>'공통융합 배정'!I23</x:f>
        <x:v>0</x:v>
      </x:c>
      <x:c r="S20" s="134" t="n">
        <x:f>'공통융합 배정'!J23</x:f>
        <x:v>0</x:v>
      </x:c>
      <x:c r="T20" s="128"/>
      <x:c r="U20" s="128"/>
      <x:c r="V20" s="137"/>
      <x:c r="W20" s="78"/>
      <x:c r="X20" s="78"/>
      <x:c r="Y20" s="78"/>
      <x:c r="Z20" s="78"/>
      <x:c r="AA20" s="78"/>
      <x:c r="AB20" s="78"/>
      <x:c r="AC20" s="78"/>
      <x:c r="AD20" s="78"/>
      <x:c r="AE20" s="78"/>
    </x:row>
    <x:row r="21" ht="24" customHeight="1">
      <x:c r="A21" s="78"/>
      <x:c r="B21" s="103"/>
      <x:c r="C21" s="105" t="str">
        <x:v>융합</x:v>
      </x:c>
      <x:c r="D21" s="101" t="str">
        <x:v>역사로 탐구하는 현대 세계</x:v>
      </x:c>
      <x:c r="E21" s="127"/>
      <x:c r="F21" s="128"/>
      <x:c r="G21" s="134"/>
      <x:c r="H21" s="128"/>
      <x:c r="I21" s="128"/>
      <x:c r="J21" s="134"/>
      <x:c r="K21" s="128"/>
      <x:c r="L21" s="128"/>
      <x:c r="M21" s="134"/>
      <x:c r="N21" s="128"/>
      <x:c r="O21" s="128"/>
      <x:c r="P21" s="134"/>
      <x:c r="Q21" s="128" t="n">
        <x:f>'기존안 과목내역'!I80</x:f>
        <x:v>3</x:v>
      </x:c>
      <x:c r="R21" s="128" t="n">
        <x:f>'공통융합 배정'!I24</x:f>
        <x:v>4</x:v>
      </x:c>
      <x:c r="S21" s="134" t="n">
        <x:f>'공통융합 배정'!J24</x:f>
        <x:v>12</x:v>
      </x:c>
      <x:c r="T21" s="128"/>
      <x:c r="U21" s="128"/>
      <x:c r="V21" s="137"/>
      <x:c r="W21" s="78"/>
      <x:c r="X21" s="78"/>
      <x:c r="Y21" s="78"/>
      <x:c r="Z21" s="78"/>
      <x:c r="AA21" s="78"/>
      <x:c r="AB21" s="78"/>
      <x:c r="AC21" s="78"/>
      <x:c r="AD21" s="78"/>
      <x:c r="AE21" s="78"/>
    </x:row>
    <x:row r="22" ht="24" customHeight="1">
      <x:c r="A22" s="78"/>
      <x:c r="B22" s="103"/>
      <x:c r="C22" s="105" t="str">
        <x:v>통합</x:v>
      </x:c>
      <x:c r="D22" s="101" t="str">
        <x:v>통합사회2</x:v>
      </x:c>
      <x:c r="E22" s="127"/>
      <x:c r="F22" s="128"/>
      <x:c r="G22" s="134"/>
      <x:c r="H22" s="128" t="n">
        <x:f>'기존안 과목내역'!I87</x:f>
        <x:v>4</x:v>
      </x:c>
      <x:c r="I22" s="128" t="n">
        <x:f>'공통융합 배정'!I25</x:f>
        <x:v>2</x:v>
      </x:c>
      <x:c r="J22" s="134" t="n">
        <x:f>'공통융합 배정'!J25</x:f>
        <x:v>8</x:v>
      </x:c>
      <x:c r="K22" s="128"/>
      <x:c r="L22" s="128"/>
      <x:c r="M22" s="134"/>
      <x:c r="N22" s="128"/>
      <x:c r="O22" s="128"/>
      <x:c r="P22" s="134"/>
      <x:c r="Q22" s="128"/>
      <x:c r="R22" s="128"/>
      <x:c r="S22" s="134"/>
      <x:c r="T22" s="128"/>
      <x:c r="U22" s="128"/>
      <x:c r="V22" s="137"/>
      <x:c r="W22" s="78"/>
      <x:c r="X22" s="78"/>
      <x:c r="Y22" s="78"/>
      <x:c r="Z22" s="78"/>
      <x:c r="AA22" s="78"/>
      <x:c r="AB22" s="78"/>
      <x:c r="AC22" s="78"/>
      <x:c r="AD22" s="78"/>
      <x:c r="AE22" s="78"/>
    </x:row>
    <x:row r="23" ht="24" customHeight="1">
      <x:c r="A23" s="78"/>
      <x:c r="B23" s="103"/>
      <x:c r="C23" s="105" t="str">
        <x:v>융합</x:v>
      </x:c>
      <x:c r="D23" s="101" t="str">
        <x:v>금융과 경제생활</x:v>
      </x:c>
      <x:c r="E23" s="127"/>
      <x:c r="F23" s="128"/>
      <x:c r="G23" s="134"/>
      <x:c r="H23" s="128"/>
      <x:c r="I23" s="128"/>
      <x:c r="J23" s="134"/>
      <x:c r="K23" s="128"/>
      <x:c r="L23" s="128"/>
      <x:c r="M23" s="134"/>
      <x:c r="N23" s="128"/>
      <x:c r="O23" s="128"/>
      <x:c r="P23" s="134"/>
      <x:c r="Q23" s="128"/>
      <x:c r="R23" s="128"/>
      <x:c r="S23" s="134"/>
      <x:c r="T23" s="128" t="n">
        <x:f>'기존안 과목내역'!I100</x:f>
        <x:v>3</x:v>
      </x:c>
      <x:c r="U23" s="128" t="n">
        <x:f>'공통융합 배정'!I26</x:f>
        <x:v>0</x:v>
      </x:c>
      <x:c r="V23" s="137" t="n">
        <x:f>'공통융합 배정'!J26</x:f>
        <x:v>0</x:v>
      </x:c>
      <x:c r="W23" s="78"/>
      <x:c r="X23" s="78"/>
      <x:c r="Y23" s="78"/>
      <x:c r="Z23" s="78"/>
      <x:c r="AA23" s="78"/>
      <x:c r="AB23" s="78"/>
      <x:c r="AC23" s="78"/>
      <x:c r="AD23" s="78"/>
      <x:c r="AE23" s="78"/>
    </x:row>
    <x:row r="24" ht="24" customHeight="1">
      <x:c r="A24" s="78"/>
      <x:c r="B24" s="103"/>
      <x:c r="C24" s="105" t="str">
        <x:v>융합</x:v>
      </x:c>
      <x:c r="D24" s="101" t="str">
        <x:v>여행지리</x:v>
      </x:c>
      <x:c r="E24" s="127"/>
      <x:c r="F24" s="128"/>
      <x:c r="G24" s="134"/>
      <x:c r="H24" s="128"/>
      <x:c r="I24" s="128"/>
      <x:c r="J24" s="134"/>
      <x:c r="K24" s="128"/>
      <x:c r="L24" s="128"/>
      <x:c r="M24" s="134"/>
      <x:c r="N24" s="128"/>
      <x:c r="O24" s="128"/>
      <x:c r="P24" s="134"/>
      <x:c r="Q24" s="128"/>
      <x:c r="R24" s="128"/>
      <x:c r="S24" s="134"/>
      <x:c r="T24" s="128" t="n">
        <x:f>'기존안 과목내역'!I101</x:f>
        <x:v>3</x:v>
      </x:c>
      <x:c r="U24" s="128" t="n">
        <x:f>'공통융합 배정'!I27</x:f>
        <x:v>0</x:v>
      </x:c>
      <x:c r="V24" s="137" t="n">
        <x:f>'공통융합 배정'!J27</x:f>
        <x:v>0</x:v>
      </x:c>
      <x:c r="W24" s="78"/>
      <x:c r="X24" s="78"/>
      <x:c r="Y24" s="78"/>
      <x:c r="Z24" s="78"/>
      <x:c r="AA24" s="78"/>
      <x:c r="AB24" s="78"/>
      <x:c r="AC24" s="78"/>
      <x:c r="AD24" s="78"/>
      <x:c r="AE24" s="78"/>
    </x:row>
    <x:row r="25" ht="24" customHeight="1">
      <x:c r="A25" s="78"/>
      <x:c r="B25" s="103"/>
      <x:c r="C25" s="105" t="str">
        <x:v>융합</x:v>
      </x:c>
      <x:c r="D25" s="101" t="str">
        <x:v>윤리문제 탐구</x:v>
      </x:c>
      <x:c r="E25" s="130"/>
      <x:c r="F25" s="131"/>
      <x:c r="G25" s="135"/>
      <x:c r="H25" s="131"/>
      <x:c r="I25" s="131"/>
      <x:c r="J25" s="135"/>
      <x:c r="K25" s="131"/>
      <x:c r="L25" s="131"/>
      <x:c r="M25" s="135"/>
      <x:c r="N25" s="131"/>
      <x:c r="O25" s="131"/>
      <x:c r="P25" s="135"/>
      <x:c r="Q25" s="131"/>
      <x:c r="R25" s="131"/>
      <x:c r="S25" s="135"/>
      <x:c r="T25" s="131" t="n">
        <x:f>'기존안 과목내역'!I102</x:f>
        <x:v>3</x:v>
      </x:c>
      <x:c r="U25" s="131" t="n">
        <x:f>'공통융합 배정'!I28</x:f>
        <x:v>0</x:v>
      </x:c>
      <x:c r="V25" s="138" t="n">
        <x:f>'공통융합 배정'!J28</x:f>
        <x:v>0</x:v>
      </x:c>
      <x:c r="W25" s="78"/>
      <x:c r="X25" s="78"/>
      <x:c r="Y25" s="78"/>
      <x:c r="Z25" s="78"/>
      <x:c r="AA25" s="78"/>
      <x:c r="AB25" s="78"/>
      <x:c r="AC25" s="78"/>
      <x:c r="AD25" s="78"/>
      <x:c r="AE25" s="78"/>
    </x:row>
    <x:row r="26" ht="30" customHeight="1">
      <x:c r="A26" s="78"/>
      <x:c r="B26" s="141" t="str">
        <x:v>일반사회 합계</x:v>
      </x:c>
      <x:c r="C26" s="141"/>
      <x:c r="D26" s="141"/>
      <x:c r="E26" s="141"/>
      <x:c r="F26" s="141"/>
      <x:c r="G26" s="141" t="n">
        <x:f>SUM(G32)</x:f>
        <x:v>20</x:v>
      </x:c>
      <x:c r="H26" s="141"/>
      <x:c r="I26" s="141"/>
      <x:c r="J26" s="141" t="n">
        <x:f>SUM(J36)</x:f>
        <x:v>20</x:v>
      </x:c>
      <x:c r="K26" s="141"/>
      <x:c r="L26" s="141"/>
      <x:c r="M26" s="141" t="n">
        <x:f>SUM(M27)</x:f>
        <x:v>18</x:v>
      </x:c>
      <x:c r="N26" s="141"/>
      <x:c r="O26" s="141"/>
      <x:c r="P26" s="141" t="n">
        <x:f>SUM(P30,P31)</x:f>
        <x:v>27</x:v>
      </x:c>
      <x:c r="Q26" s="141"/>
      <x:c r="R26" s="141"/>
      <x:c r="S26" s="141" t="n">
        <x:f>SUM(S28,S29,S33,S34,S35)</x:f>
        <x:v>33</x:v>
      </x:c>
      <x:c r="T26" s="141"/>
      <x:c r="U26" s="141"/>
      <x:c r="V26" s="141" t="n">
        <x:f>SUM(V37,V38,V39)</x:f>
        <x:v>18</x:v>
      </x:c>
      <x:c r="W26" s="141" t="n">
        <x:f>IF(ISNUMBER('산정근거'!C10),'산정근거'!C10,"미정")</x:f>
        <x:v>4</x:v>
      </x:c>
      <x:c r="X26" s="143" t="n">
        <x:f>SUM(M27,S28,S29)</x:f>
        <x:v>45</x:v>
      </x:c>
      <x:c r="Y26" s="143" t="n">
        <x:f>SUM(G32,S33,S34,S35)</x:f>
        <x:v>26</x:v>
      </x:c>
      <x:c r="Z26" s="143" t="n">
        <x:f>X26+Y26</x:f>
        <x:v>71</x:v>
      </x:c>
      <x:c r="AA26" s="144" t="n">
        <x:f>IF(OR(NOT(ISNUMBER(W26)),W26&lt;=0),"미정",Z26/W26)</x:f>
        <x:v>17.75</x:v>
      </x:c>
      <x:c r="AB26" s="143" t="n">
        <x:f>SUM(P30,P31)</x:f>
        <x:v>27</x:v>
      </x:c>
      <x:c r="AC26" s="143" t="n">
        <x:f>SUM(J36,V37,V38,V39)</x:f>
        <x:v>38</x:v>
      </x:c>
      <x:c r="AD26" s="143" t="n">
        <x:f>AB26+AC26</x:f>
        <x:v>65</x:v>
      </x:c>
      <x:c r="AE26" s="144" t="n">
        <x:f>IF(OR(NOT(ISNUMBER(W26)),W26&lt;=0),"미정",AD26/W26)</x:f>
        <x:v>16.25</x:v>
      </x:c>
    </x:row>
    <x:row r="27" ht="24" customHeight="1">
      <x:c r="A27" s="78"/>
      <x:c r="B27" s="103" t="str">
        <x:v>일반사회</x:v>
      </x:c>
      <x:c r="C27" s="104" t="str">
        <x:v>자체</x:v>
      </x:c>
      <x:c r="D27" s="81" t="str">
        <x:v>사회와 문화</x:v>
      </x:c>
      <x:c r="E27" s="124"/>
      <x:c r="F27" s="125"/>
      <x:c r="G27" s="133"/>
      <x:c r="H27" s="125"/>
      <x:c r="I27" s="125"/>
      <x:c r="J27" s="133"/>
      <x:c r="K27" s="125" t="n">
        <x:f>'기존안 과목내역'!I66</x:f>
        <x:v>3</x:v>
      </x:c>
      <x:c r="L27" s="125" t="n">
        <x:f>'기존안 과목내역'!J66</x:f>
        <x:v>6</x:v>
      </x:c>
      <x:c r="M27" s="133" t="n">
        <x:f>K27*L27</x:f>
        <x:v>18</x:v>
      </x:c>
      <x:c r="N27" s="125"/>
      <x:c r="O27" s="125"/>
      <x:c r="P27" s="133"/>
      <x:c r="Q27" s="125"/>
      <x:c r="R27" s="125"/>
      <x:c r="S27" s="133"/>
      <x:c r="T27" s="125"/>
      <x:c r="U27" s="125"/>
      <x:c r="V27" s="136"/>
      <x:c r="W27" s="78"/>
      <x:c r="X27" s="78"/>
      <x:c r="Y27" s="78"/>
      <x:c r="Z27" s="78"/>
      <x:c r="AA27" s="78"/>
      <x:c r="AB27" s="78"/>
      <x:c r="AC27" s="78"/>
      <x:c r="AD27" s="78"/>
      <x:c r="AE27" s="78"/>
    </x:row>
    <x:row r="28" ht="24" customHeight="1">
      <x:c r="A28" s="78"/>
      <x:c r="B28" s="103"/>
      <x:c r="C28" s="104" t="str">
        <x:v>자체</x:v>
      </x:c>
      <x:c r="D28" s="81" t="str">
        <x:v>경제</x:v>
      </x:c>
      <x:c r="E28" s="127"/>
      <x:c r="F28" s="128"/>
      <x:c r="G28" s="134"/>
      <x:c r="H28" s="128"/>
      <x:c r="I28" s="128"/>
      <x:c r="J28" s="134"/>
      <x:c r="K28" s="128"/>
      <x:c r="L28" s="128"/>
      <x:c r="M28" s="134"/>
      <x:c r="N28" s="128"/>
      <x:c r="O28" s="128"/>
      <x:c r="P28" s="134"/>
      <x:c r="Q28" s="128" t="n">
        <x:f>'기존안 과목내역'!I74</x:f>
        <x:v>3</x:v>
      </x:c>
      <x:c r="R28" s="128" t="n">
        <x:f>'기존안 과목내역'!J74</x:f>
        <x:v>4</x:v>
      </x:c>
      <x:c r="S28" s="134" t="n">
        <x:f>Q28*R28</x:f>
        <x:v>12</x:v>
      </x:c>
      <x:c r="T28" s="128"/>
      <x:c r="U28" s="128"/>
      <x:c r="V28" s="137"/>
      <x:c r="W28" s="78"/>
      <x:c r="X28" s="78"/>
      <x:c r="Y28" s="78"/>
      <x:c r="Z28" s="78"/>
      <x:c r="AA28" s="78"/>
      <x:c r="AB28" s="78"/>
      <x:c r="AC28" s="78"/>
      <x:c r="AD28" s="78"/>
      <x:c r="AE28" s="78"/>
    </x:row>
    <x:row r="29" ht="24" customHeight="1">
      <x:c r="A29" s="78"/>
      <x:c r="B29" s="103"/>
      <x:c r="C29" s="104" t="str">
        <x:v>자체</x:v>
      </x:c>
      <x:c r="D29" s="81" t="str">
        <x:v>국제 관계의 이해</x:v>
      </x:c>
      <x:c r="E29" s="127"/>
      <x:c r="F29" s="128"/>
      <x:c r="G29" s="134"/>
      <x:c r="H29" s="128"/>
      <x:c r="I29" s="128"/>
      <x:c r="J29" s="134"/>
      <x:c r="K29" s="128"/>
      <x:c r="L29" s="128"/>
      <x:c r="M29" s="134"/>
      <x:c r="N29" s="128"/>
      <x:c r="O29" s="128"/>
      <x:c r="P29" s="134"/>
      <x:c r="Q29" s="128" t="n">
        <x:f>'기존안 과목내역'!I75</x:f>
        <x:v>3</x:v>
      </x:c>
      <x:c r="R29" s="128" t="n">
        <x:f>'기존안 과목내역'!J75</x:f>
        <x:v>5</x:v>
      </x:c>
      <x:c r="S29" s="134" t="n">
        <x:f>Q29*R29</x:f>
        <x:v>15</x:v>
      </x:c>
      <x:c r="T29" s="128"/>
      <x:c r="U29" s="128"/>
      <x:c r="V29" s="137"/>
      <x:c r="W29" s="78"/>
      <x:c r="X29" s="78"/>
      <x:c r="Y29" s="78"/>
      <x:c r="Z29" s="78"/>
      <x:c r="AA29" s="78"/>
      <x:c r="AB29" s="78"/>
      <x:c r="AC29" s="78"/>
      <x:c r="AD29" s="78"/>
      <x:c r="AE29" s="78"/>
    </x:row>
    <x:row r="30" ht="24" customHeight="1">
      <x:c r="A30" s="78"/>
      <x:c r="B30" s="103"/>
      <x:c r="C30" s="104" t="str">
        <x:v>자체</x:v>
      </x:c>
      <x:c r="D30" s="81" t="str">
        <x:v>법과 사회</x:v>
      </x:c>
      <x:c r="E30" s="127"/>
      <x:c r="F30" s="128"/>
      <x:c r="G30" s="134"/>
      <x:c r="H30" s="128"/>
      <x:c r="I30" s="128"/>
      <x:c r="J30" s="134"/>
      <x:c r="K30" s="128"/>
      <x:c r="L30" s="128"/>
      <x:c r="M30" s="134"/>
      <x:c r="N30" s="128" t="n">
        <x:f>'기존안 과목내역'!I91</x:f>
        <x:v>3</x:v>
      </x:c>
      <x:c r="O30" s="128" t="n">
        <x:f>'기존안 과목내역'!J91</x:f>
        <x:v>5</x:v>
      </x:c>
      <x:c r="P30" s="134" t="n">
        <x:f>N30*O30</x:f>
        <x:v>15</x:v>
      </x:c>
      <x:c r="Q30" s="128"/>
      <x:c r="R30" s="128"/>
      <x:c r="S30" s="134"/>
      <x:c r="T30" s="128"/>
      <x:c r="U30" s="128"/>
      <x:c r="V30" s="137"/>
      <x:c r="W30" s="78"/>
      <x:c r="X30" s="78"/>
      <x:c r="Y30" s="78"/>
      <x:c r="Z30" s="78"/>
      <x:c r="AA30" s="78"/>
      <x:c r="AB30" s="78"/>
      <x:c r="AC30" s="78"/>
      <x:c r="AD30" s="78"/>
      <x:c r="AE30" s="78"/>
    </x:row>
    <x:row r="31" ht="24" customHeight="1">
      <x:c r="A31" s="78"/>
      <x:c r="B31" s="103"/>
      <x:c r="C31" s="104" t="str">
        <x:v>자체</x:v>
      </x:c>
      <x:c r="D31" s="81" t="str">
        <x:v>정치</x:v>
      </x:c>
      <x:c r="E31" s="127"/>
      <x:c r="F31" s="128"/>
      <x:c r="G31" s="134"/>
      <x:c r="H31" s="128"/>
      <x:c r="I31" s="128"/>
      <x:c r="J31" s="134"/>
      <x:c r="K31" s="128"/>
      <x:c r="L31" s="128"/>
      <x:c r="M31" s="134"/>
      <x:c r="N31" s="128" t="n">
        <x:f>'기존안 과목내역'!I93</x:f>
        <x:v>3</x:v>
      </x:c>
      <x:c r="O31" s="128" t="n">
        <x:f>'기존안 과목내역'!J93</x:f>
        <x:v>4</x:v>
      </x:c>
      <x:c r="P31" s="134" t="n">
        <x:f>N31*O31</x:f>
        <x:v>12</x:v>
      </x:c>
      <x:c r="Q31" s="128"/>
      <x:c r="R31" s="128"/>
      <x:c r="S31" s="134"/>
      <x:c r="T31" s="128"/>
      <x:c r="U31" s="128"/>
      <x:c r="V31" s="137"/>
      <x:c r="W31" s="78"/>
      <x:c r="X31" s="78"/>
      <x:c r="Y31" s="78"/>
      <x:c r="Z31" s="78"/>
      <x:c r="AA31" s="78"/>
      <x:c r="AB31" s="78"/>
      <x:c r="AC31" s="78"/>
      <x:c r="AD31" s="78"/>
      <x:c r="AE31" s="78"/>
    </x:row>
    <x:row r="32" ht="24" customHeight="1">
      <x:c r="A32" s="78"/>
      <x:c r="B32" s="103"/>
      <x:c r="C32" s="105" t="str">
        <x:v>통합</x:v>
      </x:c>
      <x:c r="D32" s="101" t="str">
        <x:v>통합사회1</x:v>
      </x:c>
      <x:c r="E32" s="127" t="n">
        <x:f>'기존안 과목내역'!I63</x:f>
        <x:v>4</x:v>
      </x:c>
      <x:c r="F32" s="128" t="n">
        <x:f>'공통융합 배정'!K21</x:f>
        <x:v>5</x:v>
      </x:c>
      <x:c r="G32" s="134" t="n">
        <x:f>'공통융합 배정'!L21</x:f>
        <x:v>20</x:v>
      </x:c>
      <x:c r="H32" s="128"/>
      <x:c r="I32" s="128"/>
      <x:c r="J32" s="134"/>
      <x:c r="K32" s="128"/>
      <x:c r="L32" s="128"/>
      <x:c r="M32" s="134"/>
      <x:c r="N32" s="128"/>
      <x:c r="O32" s="128"/>
      <x:c r="P32" s="134"/>
      <x:c r="Q32" s="128"/>
      <x:c r="R32" s="128"/>
      <x:c r="S32" s="134"/>
      <x:c r="T32" s="128"/>
      <x:c r="U32" s="128"/>
      <x:c r="V32" s="137"/>
      <x:c r="W32" s="78"/>
      <x:c r="X32" s="78"/>
      <x:c r="Y32" s="78"/>
      <x:c r="Z32" s="78"/>
      <x:c r="AA32" s="78"/>
      <x:c r="AB32" s="78"/>
      <x:c r="AC32" s="78"/>
      <x:c r="AD32" s="78"/>
      <x:c r="AE32" s="78"/>
    </x:row>
    <x:row r="33" ht="24" customHeight="1">
      <x:c r="A33" s="78"/>
      <x:c r="B33" s="103"/>
      <x:c r="C33" s="105" t="str">
        <x:v>융합</x:v>
      </x:c>
      <x:c r="D33" s="101" t="str">
        <x:v>기후변화와 지속가능한 세계</x:v>
      </x:c>
      <x:c r="E33" s="127"/>
      <x:c r="F33" s="128"/>
      <x:c r="G33" s="134"/>
      <x:c r="H33" s="128"/>
      <x:c r="I33" s="128"/>
      <x:c r="J33" s="134"/>
      <x:c r="K33" s="128"/>
      <x:c r="L33" s="128"/>
      <x:c r="M33" s="134"/>
      <x:c r="N33" s="128"/>
      <x:c r="O33" s="128"/>
      <x:c r="P33" s="134"/>
      <x:c r="Q33" s="128" t="n">
        <x:f>'기존안 과목내역'!I78</x:f>
        <x:v>3</x:v>
      </x:c>
      <x:c r="R33" s="128" t="n">
        <x:f>'공통융합 배정'!K22</x:f>
        <x:v>0</x:v>
      </x:c>
      <x:c r="S33" s="134" t="n">
        <x:f>'공통융합 배정'!L22</x:f>
        <x:v>0</x:v>
      </x:c>
      <x:c r="T33" s="128"/>
      <x:c r="U33" s="128"/>
      <x:c r="V33" s="137"/>
      <x:c r="W33" s="78"/>
      <x:c r="X33" s="78"/>
      <x:c r="Y33" s="78"/>
      <x:c r="Z33" s="78"/>
      <x:c r="AA33" s="78"/>
      <x:c r="AB33" s="78"/>
      <x:c r="AC33" s="78"/>
      <x:c r="AD33" s="78"/>
      <x:c r="AE33" s="78"/>
    </x:row>
    <x:row r="34" ht="24" customHeight="1">
      <x:c r="A34" s="78"/>
      <x:c r="B34" s="103"/>
      <x:c r="C34" s="105" t="str">
        <x:v>융합</x:v>
      </x:c>
      <x:c r="D34" s="101" t="str">
        <x:v>사회문제 탐구</x:v>
      </x:c>
      <x:c r="E34" s="127"/>
      <x:c r="F34" s="128"/>
      <x:c r="G34" s="134"/>
      <x:c r="H34" s="128"/>
      <x:c r="I34" s="128"/>
      <x:c r="J34" s="134"/>
      <x:c r="K34" s="128"/>
      <x:c r="L34" s="128"/>
      <x:c r="M34" s="134"/>
      <x:c r="N34" s="128"/>
      <x:c r="O34" s="128"/>
      <x:c r="P34" s="134"/>
      <x:c r="Q34" s="128" t="n">
        <x:f>'기존안 과목내역'!I79</x:f>
        <x:v>3</x:v>
      </x:c>
      <x:c r="R34" s="128" t="n">
        <x:f>'공통융합 배정'!K23</x:f>
        <x:v>2</x:v>
      </x:c>
      <x:c r="S34" s="134" t="n">
        <x:f>'공통융합 배정'!L23</x:f>
        <x:v>6</x:v>
      </x:c>
      <x:c r="T34" s="128"/>
      <x:c r="U34" s="128"/>
      <x:c r="V34" s="137"/>
      <x:c r="W34" s="78"/>
      <x:c r="X34" s="78"/>
      <x:c r="Y34" s="78"/>
      <x:c r="Z34" s="78"/>
      <x:c r="AA34" s="78"/>
      <x:c r="AB34" s="78"/>
      <x:c r="AC34" s="78"/>
      <x:c r="AD34" s="78"/>
      <x:c r="AE34" s="78"/>
    </x:row>
    <x:row r="35" ht="24" customHeight="1">
      <x:c r="A35" s="78"/>
      <x:c r="B35" s="103"/>
      <x:c r="C35" s="105" t="str">
        <x:v>융합</x:v>
      </x:c>
      <x:c r="D35" s="101" t="str">
        <x:v>역사로 탐구하는 현대 세계</x:v>
      </x:c>
      <x:c r="E35" s="127"/>
      <x:c r="F35" s="128"/>
      <x:c r="G35" s="134"/>
      <x:c r="H35" s="128"/>
      <x:c r="I35" s="128"/>
      <x:c r="J35" s="134"/>
      <x:c r="K35" s="128"/>
      <x:c r="L35" s="128"/>
      <x:c r="M35" s="134"/>
      <x:c r="N35" s="128"/>
      <x:c r="O35" s="128"/>
      <x:c r="P35" s="134"/>
      <x:c r="Q35" s="128" t="n">
        <x:f>'기존안 과목내역'!I80</x:f>
        <x:v>3</x:v>
      </x:c>
      <x:c r="R35" s="128" t="n">
        <x:f>'공통융합 배정'!K24</x:f>
        <x:v>0</x:v>
      </x:c>
      <x:c r="S35" s="134" t="n">
        <x:f>'공통융합 배정'!L24</x:f>
        <x:v>0</x:v>
      </x:c>
      <x:c r="T35" s="128"/>
      <x:c r="U35" s="128"/>
      <x:c r="V35" s="137"/>
      <x:c r="W35" s="78"/>
      <x:c r="X35" s="78"/>
      <x:c r="Y35" s="78"/>
      <x:c r="Z35" s="78"/>
      <x:c r="AA35" s="78"/>
      <x:c r="AB35" s="78"/>
      <x:c r="AC35" s="78"/>
      <x:c r="AD35" s="78"/>
      <x:c r="AE35" s="78"/>
    </x:row>
    <x:row r="36" ht="24" customHeight="1">
      <x:c r="A36" s="78"/>
      <x:c r="B36" s="103"/>
      <x:c r="C36" s="105" t="str">
        <x:v>통합</x:v>
      </x:c>
      <x:c r="D36" s="101" t="str">
        <x:v>통합사회2</x:v>
      </x:c>
      <x:c r="E36" s="127"/>
      <x:c r="F36" s="128"/>
      <x:c r="G36" s="134"/>
      <x:c r="H36" s="128" t="n">
        <x:f>'기존안 과목내역'!I87</x:f>
        <x:v>4</x:v>
      </x:c>
      <x:c r="I36" s="128" t="n">
        <x:f>'공통융합 배정'!K25</x:f>
        <x:v>5</x:v>
      </x:c>
      <x:c r="J36" s="134" t="n">
        <x:f>'공통융합 배정'!L25</x:f>
        <x:v>20</x:v>
      </x:c>
      <x:c r="K36" s="128"/>
      <x:c r="L36" s="128"/>
      <x:c r="M36" s="134"/>
      <x:c r="N36" s="128"/>
      <x:c r="O36" s="128"/>
      <x:c r="P36" s="134"/>
      <x:c r="Q36" s="128"/>
      <x:c r="R36" s="128"/>
      <x:c r="S36" s="134"/>
      <x:c r="T36" s="128"/>
      <x:c r="U36" s="128"/>
      <x:c r="V36" s="137"/>
      <x:c r="W36" s="78"/>
      <x:c r="X36" s="78"/>
      <x:c r="Y36" s="78"/>
      <x:c r="Z36" s="78"/>
      <x:c r="AA36" s="78"/>
      <x:c r="AB36" s="78"/>
      <x:c r="AC36" s="78"/>
      <x:c r="AD36" s="78"/>
      <x:c r="AE36" s="78"/>
    </x:row>
    <x:row r="37" ht="24" customHeight="1">
      <x:c r="A37" s="78"/>
      <x:c r="B37" s="103"/>
      <x:c r="C37" s="105" t="str">
        <x:v>융합</x:v>
      </x:c>
      <x:c r="D37" s="101" t="str">
        <x:v>금융과 경제생활</x:v>
      </x:c>
      <x:c r="E37" s="127"/>
      <x:c r="F37" s="128"/>
      <x:c r="G37" s="134"/>
      <x:c r="H37" s="128"/>
      <x:c r="I37" s="128"/>
      <x:c r="J37" s="134"/>
      <x:c r="K37" s="128"/>
      <x:c r="L37" s="128"/>
      <x:c r="M37" s="134"/>
      <x:c r="N37" s="128"/>
      <x:c r="O37" s="128"/>
      <x:c r="P37" s="134"/>
      <x:c r="Q37" s="128"/>
      <x:c r="R37" s="128"/>
      <x:c r="S37" s="134"/>
      <x:c r="T37" s="128" t="n">
        <x:f>'기존안 과목내역'!I100</x:f>
        <x:v>3</x:v>
      </x:c>
      <x:c r="U37" s="128" t="n">
        <x:f>'공통융합 배정'!K26</x:f>
        <x:v>6</x:v>
      </x:c>
      <x:c r="V37" s="137" t="n">
        <x:f>'공통융합 배정'!L26</x:f>
        <x:v>18</x:v>
      </x:c>
      <x:c r="W37" s="78"/>
      <x:c r="X37" s="78"/>
      <x:c r="Y37" s="78"/>
      <x:c r="Z37" s="78"/>
      <x:c r="AA37" s="78"/>
      <x:c r="AB37" s="78"/>
      <x:c r="AC37" s="78"/>
      <x:c r="AD37" s="78"/>
      <x:c r="AE37" s="78"/>
    </x:row>
    <x:row r="38" ht="24" customHeight="1">
      <x:c r="A38" s="78"/>
      <x:c r="B38" s="103"/>
      <x:c r="C38" s="105" t="str">
        <x:v>융합</x:v>
      </x:c>
      <x:c r="D38" s="101" t="str">
        <x:v>여행지리</x:v>
      </x:c>
      <x:c r="E38" s="127"/>
      <x:c r="F38" s="128"/>
      <x:c r="G38" s="134"/>
      <x:c r="H38" s="128"/>
      <x:c r="I38" s="128"/>
      <x:c r="J38" s="134"/>
      <x:c r="K38" s="128"/>
      <x:c r="L38" s="128"/>
      <x:c r="M38" s="134"/>
      <x:c r="N38" s="128"/>
      <x:c r="O38" s="128"/>
      <x:c r="P38" s="134"/>
      <x:c r="Q38" s="128"/>
      <x:c r="R38" s="128"/>
      <x:c r="S38" s="134"/>
      <x:c r="T38" s="128" t="n">
        <x:f>'기존안 과목내역'!I101</x:f>
        <x:v>3</x:v>
      </x:c>
      <x:c r="U38" s="128" t="n">
        <x:f>'공통융합 배정'!K27</x:f>
        <x:v>0</x:v>
      </x:c>
      <x:c r="V38" s="137" t="n">
        <x:f>'공통융합 배정'!L27</x:f>
        <x:v>0</x:v>
      </x:c>
      <x:c r="W38" s="78"/>
      <x:c r="X38" s="78"/>
      <x:c r="Y38" s="78"/>
      <x:c r="Z38" s="78"/>
      <x:c r="AA38" s="78"/>
      <x:c r="AB38" s="78"/>
      <x:c r="AC38" s="78"/>
      <x:c r="AD38" s="78"/>
      <x:c r="AE38" s="78"/>
    </x:row>
    <x:row r="39" ht="24" customHeight="1">
      <x:c r="A39" s="78"/>
      <x:c r="B39" s="103"/>
      <x:c r="C39" s="105" t="str">
        <x:v>융합</x:v>
      </x:c>
      <x:c r="D39" s="101" t="str">
        <x:v>윤리문제 탐구</x:v>
      </x:c>
      <x:c r="E39" s="130"/>
      <x:c r="F39" s="131"/>
      <x:c r="G39" s="135"/>
      <x:c r="H39" s="131"/>
      <x:c r="I39" s="131"/>
      <x:c r="J39" s="135"/>
      <x:c r="K39" s="131"/>
      <x:c r="L39" s="131"/>
      <x:c r="M39" s="135"/>
      <x:c r="N39" s="131"/>
      <x:c r="O39" s="131"/>
      <x:c r="P39" s="135"/>
      <x:c r="Q39" s="131"/>
      <x:c r="R39" s="131"/>
      <x:c r="S39" s="135"/>
      <x:c r="T39" s="131" t="n">
        <x:f>'기존안 과목내역'!I102</x:f>
        <x:v>3</x:v>
      </x:c>
      <x:c r="U39" s="131" t="n">
        <x:f>'공통융합 배정'!K28</x:f>
        <x:v>0</x:v>
      </x:c>
      <x:c r="V39" s="138" t="n">
        <x:f>'공통융합 배정'!L28</x:f>
        <x:v>0</x:v>
      </x:c>
      <x:c r="W39" s="78"/>
      <x:c r="X39" s="78"/>
      <x:c r="Y39" s="78"/>
      <x:c r="Z39" s="78"/>
      <x:c r="AA39" s="78"/>
      <x:c r="AB39" s="78"/>
      <x:c r="AC39" s="78"/>
      <x:c r="AD39" s="78"/>
      <x:c r="AE39" s="78"/>
    </x:row>
    <x:row r="40" ht="30" customHeight="1">
      <x:c r="A40" s="78"/>
      <x:c r="B40" s="141" t="str">
        <x:v>지리 합계</x:v>
      </x:c>
      <x:c r="C40" s="141"/>
      <x:c r="D40" s="141"/>
      <x:c r="E40" s="141"/>
      <x:c r="F40" s="141"/>
      <x:c r="G40" s="141" t="n">
        <x:f>SUM(G44)</x:f>
        <x:v>4</x:v>
      </x:c>
      <x:c r="H40" s="141"/>
      <x:c r="I40" s="141"/>
      <x:c r="J40" s="141" t="n">
        <x:f>SUM(J48)</x:f>
        <x:v>0</x:v>
      </x:c>
      <x:c r="K40" s="141"/>
      <x:c r="L40" s="141"/>
      <x:c r="M40" s="141" t="n">
        <x:f>SUM(M41)</x:f>
        <x:v>9</x:v>
      </x:c>
      <x:c r="N40" s="141"/>
      <x:c r="O40" s="141"/>
      <x:c r="P40" s="141" t="n">
        <x:f>SUM(P43)</x:f>
        <x:v>6</x:v>
      </x:c>
      <x:c r="Q40" s="141"/>
      <x:c r="R40" s="141"/>
      <x:c r="S40" s="141" t="n">
        <x:f>SUM(S42,S45,S46,S47)</x:f>
        <x:v>24</x:v>
      </x:c>
      <x:c r="T40" s="141"/>
      <x:c r="U40" s="141"/>
      <x:c r="V40" s="141" t="n">
        <x:f>SUM(V49,V50,V51)</x:f>
        <x:v>27</x:v>
      </x:c>
      <x:c r="W40" s="141" t="n">
        <x:f>IF(ISNUMBER('산정근거'!C11),'산정근거'!C11,"미정")</x:f>
        <x:v>2</x:v>
      </x:c>
      <x:c r="X40" s="143" t="n">
        <x:f>SUM(M41,S42)</x:f>
        <x:v>27</x:v>
      </x:c>
      <x:c r="Y40" s="143" t="n">
        <x:f>SUM(G44,S45,S46,S47)</x:f>
        <x:v>10</x:v>
      </x:c>
      <x:c r="Z40" s="143" t="n">
        <x:f>X40+Y40</x:f>
        <x:v>37</x:v>
      </x:c>
      <x:c r="AA40" s="144" t="n">
        <x:f>IF(OR(NOT(ISNUMBER(W40)),W40&lt;=0),"미정",Z40/W40)</x:f>
        <x:v>18.5</x:v>
      </x:c>
      <x:c r="AB40" s="143" t="n">
        <x:f>SUM(P43)</x:f>
        <x:v>6</x:v>
      </x:c>
      <x:c r="AC40" s="143" t="n">
        <x:f>SUM(J48,V49,V50,V51)</x:f>
        <x:v>27</x:v>
      </x:c>
      <x:c r="AD40" s="143" t="n">
        <x:f>AB40+AC40</x:f>
        <x:v>33</x:v>
      </x:c>
      <x:c r="AE40" s="144" t="n">
        <x:f>IF(OR(NOT(ISNUMBER(W40)),W40&lt;=0),"미정",AD40/W40)</x:f>
        <x:v>16.5</x:v>
      </x:c>
    </x:row>
    <x:row r="41" ht="24" customHeight="1">
      <x:c r="A41" s="78"/>
      <x:c r="B41" s="103" t="str">
        <x:v>지리</x:v>
      </x:c>
      <x:c r="C41" s="104" t="str">
        <x:v>자체</x:v>
      </x:c>
      <x:c r="D41" s="81" t="str">
        <x:v>세계시민과 지리</x:v>
      </x:c>
      <x:c r="E41" s="124"/>
      <x:c r="F41" s="125"/>
      <x:c r="G41" s="133"/>
      <x:c r="H41" s="125"/>
      <x:c r="I41" s="125"/>
      <x:c r="J41" s="133"/>
      <x:c r="K41" s="125" t="n">
        <x:f>'기존안 과목내역'!I68</x:f>
        <x:v>3</x:v>
      </x:c>
      <x:c r="L41" s="125" t="n">
        <x:f>'기존안 과목내역'!J68</x:f>
        <x:v>3</x:v>
      </x:c>
      <x:c r="M41" s="133" t="n">
        <x:f>K41*L41</x:f>
        <x:v>9</x:v>
      </x:c>
      <x:c r="N41" s="125"/>
      <x:c r="O41" s="125"/>
      <x:c r="P41" s="133"/>
      <x:c r="Q41" s="125"/>
      <x:c r="R41" s="125"/>
      <x:c r="S41" s="133"/>
      <x:c r="T41" s="125"/>
      <x:c r="U41" s="125"/>
      <x:c r="V41" s="136"/>
      <x:c r="W41" s="78"/>
      <x:c r="X41" s="78"/>
      <x:c r="Y41" s="78"/>
      <x:c r="Z41" s="78"/>
      <x:c r="AA41" s="78"/>
      <x:c r="AB41" s="78"/>
      <x:c r="AC41" s="78"/>
      <x:c r="AD41" s="78"/>
      <x:c r="AE41" s="78"/>
    </x:row>
    <x:row r="42" ht="24" customHeight="1">
      <x:c r="A42" s="78"/>
      <x:c r="B42" s="103"/>
      <x:c r="C42" s="104" t="str">
        <x:v>자체</x:v>
      </x:c>
      <x:c r="D42" s="81" t="str">
        <x:v>도시의 미래 탐구</x:v>
      </x:c>
      <x:c r="E42" s="127"/>
      <x:c r="F42" s="128"/>
      <x:c r="G42" s="134"/>
      <x:c r="H42" s="128"/>
      <x:c r="I42" s="128"/>
      <x:c r="J42" s="134"/>
      <x:c r="K42" s="128"/>
      <x:c r="L42" s="128"/>
      <x:c r="M42" s="134"/>
      <x:c r="N42" s="128"/>
      <x:c r="O42" s="128"/>
      <x:c r="P42" s="134"/>
      <x:c r="Q42" s="128" t="n">
        <x:f>'기존안 과목내역'!I76</x:f>
        <x:v>3</x:v>
      </x:c>
      <x:c r="R42" s="128" t="n">
        <x:f>'기존안 과목내역'!J76</x:f>
        <x:v>6</x:v>
      </x:c>
      <x:c r="S42" s="134" t="n">
        <x:f>Q42*R42</x:f>
        <x:v>18</x:v>
      </x:c>
      <x:c r="T42" s="128"/>
      <x:c r="U42" s="128"/>
      <x:c r="V42" s="137"/>
      <x:c r="W42" s="78"/>
      <x:c r="X42" s="78"/>
      <x:c r="Y42" s="78"/>
      <x:c r="Z42" s="78"/>
      <x:c r="AA42" s="78"/>
      <x:c r="AB42" s="78"/>
      <x:c r="AC42" s="78"/>
      <x:c r="AD42" s="78"/>
      <x:c r="AE42" s="78"/>
    </x:row>
    <x:row r="43" ht="24" customHeight="1">
      <x:c r="A43" s="78"/>
      <x:c r="B43" s="103"/>
      <x:c r="C43" s="104" t="str">
        <x:v>자체</x:v>
      </x:c>
      <x:c r="D43" s="81" t="str">
        <x:v>한국지리 탐구</x:v>
      </x:c>
      <x:c r="E43" s="127"/>
      <x:c r="F43" s="128"/>
      <x:c r="G43" s="134"/>
      <x:c r="H43" s="128"/>
      <x:c r="I43" s="128"/>
      <x:c r="J43" s="134"/>
      <x:c r="K43" s="128"/>
      <x:c r="L43" s="128"/>
      <x:c r="M43" s="134"/>
      <x:c r="N43" s="128" t="n">
        <x:f>'기존안 과목내역'!I94</x:f>
        <x:v>3</x:v>
      </x:c>
      <x:c r="O43" s="128" t="n">
        <x:f>'기존안 과목내역'!J94</x:f>
        <x:v>2</x:v>
      </x:c>
      <x:c r="P43" s="134" t="n">
        <x:f>N43*O43</x:f>
        <x:v>6</x:v>
      </x:c>
      <x:c r="Q43" s="128"/>
      <x:c r="R43" s="128"/>
      <x:c r="S43" s="134"/>
      <x:c r="T43" s="128"/>
      <x:c r="U43" s="128"/>
      <x:c r="V43" s="137"/>
      <x:c r="W43" s="78"/>
      <x:c r="X43" s="78"/>
      <x:c r="Y43" s="78"/>
      <x:c r="Z43" s="78"/>
      <x:c r="AA43" s="78"/>
      <x:c r="AB43" s="78"/>
      <x:c r="AC43" s="78"/>
      <x:c r="AD43" s="78"/>
      <x:c r="AE43" s="78"/>
    </x:row>
    <x:row r="44" ht="24" customHeight="1">
      <x:c r="A44" s="78"/>
      <x:c r="B44" s="103"/>
      <x:c r="C44" s="105" t="str">
        <x:v>통합</x:v>
      </x:c>
      <x:c r="D44" s="101" t="str">
        <x:v>통합사회1</x:v>
      </x:c>
      <x:c r="E44" s="127" t="n">
        <x:f>'기존안 과목내역'!I63</x:f>
        <x:v>4</x:v>
      </x:c>
      <x:c r="F44" s="128" t="n">
        <x:f>'공통융합 배정'!M21</x:f>
        <x:v>1</x:v>
      </x:c>
      <x:c r="G44" s="134" t="n">
        <x:f>'공통융합 배정'!N21</x:f>
        <x:v>4</x:v>
      </x:c>
      <x:c r="H44" s="128"/>
      <x:c r="I44" s="128"/>
      <x:c r="J44" s="134"/>
      <x:c r="K44" s="128"/>
      <x:c r="L44" s="128"/>
      <x:c r="M44" s="134"/>
      <x:c r="N44" s="128"/>
      <x:c r="O44" s="128"/>
      <x:c r="P44" s="134"/>
      <x:c r="Q44" s="128"/>
      <x:c r="R44" s="128"/>
      <x:c r="S44" s="134"/>
      <x:c r="T44" s="128"/>
      <x:c r="U44" s="128"/>
      <x:c r="V44" s="137"/>
      <x:c r="W44" s="78"/>
      <x:c r="X44" s="78"/>
      <x:c r="Y44" s="78"/>
      <x:c r="Z44" s="78"/>
      <x:c r="AA44" s="78"/>
      <x:c r="AB44" s="78"/>
      <x:c r="AC44" s="78"/>
      <x:c r="AD44" s="78"/>
      <x:c r="AE44" s="78"/>
    </x:row>
    <x:row r="45" ht="24" customHeight="1">
      <x:c r="A45" s="78"/>
      <x:c r="B45" s="103"/>
      <x:c r="C45" s="105" t="str">
        <x:v>융합</x:v>
      </x:c>
      <x:c r="D45" s="101" t="str">
        <x:v>기후변화와 지속가능한 세계</x:v>
      </x:c>
      <x:c r="E45" s="127"/>
      <x:c r="F45" s="128"/>
      <x:c r="G45" s="134"/>
      <x:c r="H45" s="128"/>
      <x:c r="I45" s="128"/>
      <x:c r="J45" s="134"/>
      <x:c r="K45" s="128"/>
      <x:c r="L45" s="128"/>
      <x:c r="M45" s="134"/>
      <x:c r="N45" s="128"/>
      <x:c r="O45" s="128"/>
      <x:c r="P45" s="134"/>
      <x:c r="Q45" s="128" t="n">
        <x:f>'기존안 과목내역'!I78</x:f>
        <x:v>3</x:v>
      </x:c>
      <x:c r="R45" s="128" t="n">
        <x:f>'공통융합 배정'!M22</x:f>
        <x:v>2</x:v>
      </x:c>
      <x:c r="S45" s="134" t="n">
        <x:f>'공통융합 배정'!N22</x:f>
        <x:v>6</x:v>
      </x:c>
      <x:c r="T45" s="128"/>
      <x:c r="U45" s="128"/>
      <x:c r="V45" s="137"/>
      <x:c r="W45" s="78"/>
      <x:c r="X45" s="78"/>
      <x:c r="Y45" s="78"/>
      <x:c r="Z45" s="78"/>
      <x:c r="AA45" s="78"/>
      <x:c r="AB45" s="78"/>
      <x:c r="AC45" s="78"/>
      <x:c r="AD45" s="78"/>
      <x:c r="AE45" s="78"/>
    </x:row>
    <x:row r="46" ht="24" customHeight="1">
      <x:c r="A46" s="78"/>
      <x:c r="B46" s="103"/>
      <x:c r="C46" s="105" t="str">
        <x:v>융합</x:v>
      </x:c>
      <x:c r="D46" s="101" t="str">
        <x:v>사회문제 탐구</x:v>
      </x:c>
      <x:c r="E46" s="127"/>
      <x:c r="F46" s="128"/>
      <x:c r="G46" s="134"/>
      <x:c r="H46" s="128"/>
      <x:c r="I46" s="128"/>
      <x:c r="J46" s="134"/>
      <x:c r="K46" s="128"/>
      <x:c r="L46" s="128"/>
      <x:c r="M46" s="134"/>
      <x:c r="N46" s="128"/>
      <x:c r="O46" s="128"/>
      <x:c r="P46" s="134"/>
      <x:c r="Q46" s="128" t="n">
        <x:f>'기존안 과목내역'!I79</x:f>
        <x:v>3</x:v>
      </x:c>
      <x:c r="R46" s="128" t="n">
        <x:f>'공통융합 배정'!M23</x:f>
        <x:v>0</x:v>
      </x:c>
      <x:c r="S46" s="134" t="n">
        <x:f>'공통융합 배정'!N23</x:f>
        <x:v>0</x:v>
      </x:c>
      <x:c r="T46" s="128"/>
      <x:c r="U46" s="128"/>
      <x:c r="V46" s="137"/>
      <x:c r="W46" s="78"/>
      <x:c r="X46" s="78"/>
      <x:c r="Y46" s="78"/>
      <x:c r="Z46" s="78"/>
      <x:c r="AA46" s="78"/>
      <x:c r="AB46" s="78"/>
      <x:c r="AC46" s="78"/>
      <x:c r="AD46" s="78"/>
      <x:c r="AE46" s="78"/>
    </x:row>
    <x:row r="47" ht="24" customHeight="1">
      <x:c r="A47" s="78"/>
      <x:c r="B47" s="103"/>
      <x:c r="C47" s="105" t="str">
        <x:v>융합</x:v>
      </x:c>
      <x:c r="D47" s="101" t="str">
        <x:v>역사로 탐구하는 현대 세계</x:v>
      </x:c>
      <x:c r="E47" s="127"/>
      <x:c r="F47" s="128"/>
      <x:c r="G47" s="134"/>
      <x:c r="H47" s="128"/>
      <x:c r="I47" s="128"/>
      <x:c r="J47" s="134"/>
      <x:c r="K47" s="128"/>
      <x:c r="L47" s="128"/>
      <x:c r="M47" s="134"/>
      <x:c r="N47" s="128"/>
      <x:c r="O47" s="128"/>
      <x:c r="P47" s="134"/>
      <x:c r="Q47" s="128" t="n">
        <x:f>'기존안 과목내역'!I80</x:f>
        <x:v>3</x:v>
      </x:c>
      <x:c r="R47" s="128" t="n">
        <x:f>'공통융합 배정'!M24</x:f>
        <x:v>0</x:v>
      </x:c>
      <x:c r="S47" s="134" t="n">
        <x:f>'공통융합 배정'!N24</x:f>
        <x:v>0</x:v>
      </x:c>
      <x:c r="T47" s="128"/>
      <x:c r="U47" s="128"/>
      <x:c r="V47" s="137"/>
      <x:c r="W47" s="78"/>
      <x:c r="X47" s="78"/>
      <x:c r="Y47" s="78"/>
      <x:c r="Z47" s="78"/>
      <x:c r="AA47" s="78"/>
      <x:c r="AB47" s="78"/>
      <x:c r="AC47" s="78"/>
      <x:c r="AD47" s="78"/>
      <x:c r="AE47" s="78"/>
    </x:row>
    <x:row r="48" ht="24" customHeight="1">
      <x:c r="A48" s="78"/>
      <x:c r="B48" s="103"/>
      <x:c r="C48" s="105" t="str">
        <x:v>통합</x:v>
      </x:c>
      <x:c r="D48" s="101" t="str">
        <x:v>통합사회2</x:v>
      </x:c>
      <x:c r="E48" s="127"/>
      <x:c r="F48" s="128"/>
      <x:c r="G48" s="134"/>
      <x:c r="H48" s="128" t="n">
        <x:f>'기존안 과목내역'!I87</x:f>
        <x:v>4</x:v>
      </x:c>
      <x:c r="I48" s="128" t="n">
        <x:f>'공통융합 배정'!M25</x:f>
        <x:v>0</x:v>
      </x:c>
      <x:c r="J48" s="134" t="n">
        <x:f>'공통융합 배정'!N25</x:f>
        <x:v>0</x:v>
      </x:c>
      <x:c r="K48" s="128"/>
      <x:c r="L48" s="128"/>
      <x:c r="M48" s="134"/>
      <x:c r="N48" s="128"/>
      <x:c r="O48" s="128"/>
      <x:c r="P48" s="134"/>
      <x:c r="Q48" s="128"/>
      <x:c r="R48" s="128"/>
      <x:c r="S48" s="134"/>
      <x:c r="T48" s="128"/>
      <x:c r="U48" s="128"/>
      <x:c r="V48" s="137"/>
      <x:c r="W48" s="78"/>
      <x:c r="X48" s="78"/>
      <x:c r="Y48" s="78"/>
      <x:c r="Z48" s="78"/>
      <x:c r="AA48" s="78"/>
      <x:c r="AB48" s="78"/>
      <x:c r="AC48" s="78"/>
      <x:c r="AD48" s="78"/>
      <x:c r="AE48" s="78"/>
    </x:row>
    <x:row r="49" ht="24" customHeight="1">
      <x:c r="A49" s="78"/>
      <x:c r="B49" s="103"/>
      <x:c r="C49" s="105" t="str">
        <x:v>융합</x:v>
      </x:c>
      <x:c r="D49" s="101" t="str">
        <x:v>금융과 경제생활</x:v>
      </x:c>
      <x:c r="E49" s="127"/>
      <x:c r="F49" s="128"/>
      <x:c r="G49" s="134"/>
      <x:c r="H49" s="128"/>
      <x:c r="I49" s="128"/>
      <x:c r="J49" s="134"/>
      <x:c r="K49" s="128"/>
      <x:c r="L49" s="128"/>
      <x:c r="M49" s="134"/>
      <x:c r="N49" s="128"/>
      <x:c r="O49" s="128"/>
      <x:c r="P49" s="134"/>
      <x:c r="Q49" s="128"/>
      <x:c r="R49" s="128"/>
      <x:c r="S49" s="134"/>
      <x:c r="T49" s="128" t="n">
        <x:f>'기존안 과목내역'!I100</x:f>
        <x:v>3</x:v>
      </x:c>
      <x:c r="U49" s="128" t="n">
        <x:f>'공통융합 배정'!M26</x:f>
        <x:v>0</x:v>
      </x:c>
      <x:c r="V49" s="137" t="n">
        <x:f>'공통융합 배정'!N26</x:f>
        <x:v>0</x:v>
      </x:c>
      <x:c r="W49" s="78"/>
      <x:c r="X49" s="78"/>
      <x:c r="Y49" s="78"/>
      <x:c r="Z49" s="78"/>
      <x:c r="AA49" s="78"/>
      <x:c r="AB49" s="78"/>
      <x:c r="AC49" s="78"/>
      <x:c r="AD49" s="78"/>
      <x:c r="AE49" s="78"/>
    </x:row>
    <x:row r="50" ht="24" customHeight="1">
      <x:c r="A50" s="78"/>
      <x:c r="B50" s="103"/>
      <x:c r="C50" s="105" t="str">
        <x:v>융합</x:v>
      </x:c>
      <x:c r="D50" s="101" t="str">
        <x:v>여행지리</x:v>
      </x:c>
      <x:c r="E50" s="127"/>
      <x:c r="F50" s="128"/>
      <x:c r="G50" s="134"/>
      <x:c r="H50" s="128"/>
      <x:c r="I50" s="128"/>
      <x:c r="J50" s="134"/>
      <x:c r="K50" s="128"/>
      <x:c r="L50" s="128"/>
      <x:c r="M50" s="134"/>
      <x:c r="N50" s="128"/>
      <x:c r="O50" s="128"/>
      <x:c r="P50" s="134"/>
      <x:c r="Q50" s="128"/>
      <x:c r="R50" s="128"/>
      <x:c r="S50" s="134"/>
      <x:c r="T50" s="128" t="n">
        <x:f>'기존안 과목내역'!I101</x:f>
        <x:v>3</x:v>
      </x:c>
      <x:c r="U50" s="128" t="n">
        <x:f>'공통융합 배정'!M27</x:f>
        <x:v>9</x:v>
      </x:c>
      <x:c r="V50" s="137" t="n">
        <x:f>'공통융합 배정'!N27</x:f>
        <x:v>27</x:v>
      </x:c>
      <x:c r="W50" s="78"/>
      <x:c r="X50" s="78"/>
      <x:c r="Y50" s="78"/>
      <x:c r="Z50" s="78"/>
      <x:c r="AA50" s="78"/>
      <x:c r="AB50" s="78"/>
      <x:c r="AC50" s="78"/>
      <x:c r="AD50" s="78"/>
      <x:c r="AE50" s="78"/>
    </x:row>
    <x:row r="51" ht="24" customHeight="1">
      <x:c r="A51" s="78"/>
      <x:c r="B51" s="103"/>
      <x:c r="C51" s="105" t="str">
        <x:v>융합</x:v>
      </x:c>
      <x:c r="D51" s="101" t="str">
        <x:v>윤리문제 탐구</x:v>
      </x:c>
      <x:c r="E51" s="130"/>
      <x:c r="F51" s="131"/>
      <x:c r="G51" s="135"/>
      <x:c r="H51" s="131"/>
      <x:c r="I51" s="131"/>
      <x:c r="J51" s="135"/>
      <x:c r="K51" s="131"/>
      <x:c r="L51" s="131"/>
      <x:c r="M51" s="135"/>
      <x:c r="N51" s="131"/>
      <x:c r="O51" s="131"/>
      <x:c r="P51" s="135"/>
      <x:c r="Q51" s="131"/>
      <x:c r="R51" s="131"/>
      <x:c r="S51" s="135"/>
      <x:c r="T51" s="131" t="n">
        <x:f>'기존안 과목내역'!I102</x:f>
        <x:v>3</x:v>
      </x:c>
      <x:c r="U51" s="131" t="n">
        <x:f>'공통융합 배정'!M28</x:f>
        <x:v>0</x:v>
      </x:c>
      <x:c r="V51" s="138" t="n">
        <x:f>'공통융합 배정'!N28</x:f>
        <x:v>0</x:v>
      </x:c>
      <x:c r="W51" s="78"/>
      <x:c r="X51" s="78"/>
      <x:c r="Y51" s="78"/>
      <x:c r="Z51" s="78"/>
      <x:c r="AA51" s="78"/>
      <x:c r="AB51" s="78"/>
      <x:c r="AC51" s="78"/>
      <x:c r="AD51" s="78"/>
      <x:c r="AE51" s="78"/>
    </x:row>
    <x:row r="52" ht="30" customHeight="1">
      <x:c r="A52" s="78"/>
      <x:c r="B52" s="141" t="str">
        <x:v>윤리 합계</x:v>
      </x:c>
      <x:c r="C52" s="141"/>
      <x:c r="D52" s="141"/>
      <x:c r="E52" s="141"/>
      <x:c r="F52" s="141"/>
      <x:c r="G52" s="141" t="n">
        <x:f>SUM(G56)</x:f>
        <x:v>24</x:v>
      </x:c>
      <x:c r="H52" s="141"/>
      <x:c r="I52" s="141"/>
      <x:c r="J52" s="141" t="n">
        <x:f>SUM(J60)</x:f>
        <x:v>20</x:v>
      </x:c>
      <x:c r="K52" s="141"/>
      <x:c r="L52" s="141"/>
      <x:c r="M52" s="141" t="n">
        <x:f>SUM(M53)</x:f>
        <x:v>18</x:v>
      </x:c>
      <x:c r="N52" s="141"/>
      <x:c r="O52" s="141"/>
      <x:c r="P52" s="141" t="n">
        <x:f>SUM(P55)</x:f>
        <x:v>15</x:v>
      </x:c>
      <x:c r="Q52" s="141"/>
      <x:c r="R52" s="141"/>
      <x:c r="S52" s="141" t="n">
        <x:f>SUM(S54,S57,S58,S59)</x:f>
        <x:v>9</x:v>
      </x:c>
      <x:c r="T52" s="141"/>
      <x:c r="U52" s="141"/>
      <x:c r="V52" s="141" t="n">
        <x:f>SUM(V61,V62,V63)</x:f>
        <x:v>12</x:v>
      </x:c>
      <x:c r="W52" s="141" t="n">
        <x:f>IF(ISNUMBER('산정근거'!C13),'산정근거'!C13,"미정")</x:f>
        <x:v>3</x:v>
      </x:c>
      <x:c r="X52" s="143" t="n">
        <x:f>SUM(M53,S54)</x:f>
        <x:v>27</x:v>
      </x:c>
      <x:c r="Y52" s="143" t="n">
        <x:f>SUM(G56,S57,S58,S59)</x:f>
        <x:v>24</x:v>
      </x:c>
      <x:c r="Z52" s="143" t="n">
        <x:f>X52+Y52</x:f>
        <x:v>51</x:v>
      </x:c>
      <x:c r="AA52" s="144" t="n">
        <x:f>IF(OR(NOT(ISNUMBER(W52)),W52&lt;=0),"미정",Z52/W52)</x:f>
        <x:v>17</x:v>
      </x:c>
      <x:c r="AB52" s="143" t="n">
        <x:f>SUM(P55)</x:f>
        <x:v>15</x:v>
      </x:c>
      <x:c r="AC52" s="143" t="n">
        <x:f>SUM(J60,V61,V62,V63)</x:f>
        <x:v>32</x:v>
      </x:c>
      <x:c r="AD52" s="143" t="n">
        <x:f>AB52+AC52</x:f>
        <x:v>47</x:v>
      </x:c>
      <x:c r="AE52" s="144" t="n">
        <x:f>IF(OR(NOT(ISNUMBER(W52)),W52&lt;=0),"미정",AD52/W52)</x:f>
        <x:v>15.666666666666666</x:v>
      </x:c>
    </x:row>
    <x:row r="53" ht="24" customHeight="1">
      <x:c r="A53" s="78"/>
      <x:c r="B53" s="103" t="str">
        <x:v>윤리</x:v>
      </x:c>
      <x:c r="C53" s="104" t="str">
        <x:v>자체</x:v>
      </x:c>
      <x:c r="D53" s="81" t="str">
        <x:v>현대사회와 윤리</x:v>
      </x:c>
      <x:c r="E53" s="124"/>
      <x:c r="F53" s="125"/>
      <x:c r="G53" s="133"/>
      <x:c r="H53" s="125"/>
      <x:c r="I53" s="125"/>
      <x:c r="J53" s="133"/>
      <x:c r="K53" s="125" t="n">
        <x:f>'기존안 과목내역'!I69</x:f>
        <x:v>3</x:v>
      </x:c>
      <x:c r="L53" s="125" t="n">
        <x:f>'기존안 과목내역'!J69</x:f>
        <x:v>6</x:v>
      </x:c>
      <x:c r="M53" s="133" t="n">
        <x:f>K53*L53</x:f>
        <x:v>18</x:v>
      </x:c>
      <x:c r="N53" s="125"/>
      <x:c r="O53" s="125"/>
      <x:c r="P53" s="133"/>
      <x:c r="Q53" s="125"/>
      <x:c r="R53" s="125"/>
      <x:c r="S53" s="133"/>
      <x:c r="T53" s="125"/>
      <x:c r="U53" s="125"/>
      <x:c r="V53" s="136"/>
      <x:c r="W53" s="78"/>
      <x:c r="X53" s="78"/>
      <x:c r="Y53" s="78"/>
      <x:c r="Z53" s="78"/>
      <x:c r="AA53" s="78"/>
      <x:c r="AB53" s="78"/>
      <x:c r="AC53" s="78"/>
      <x:c r="AD53" s="78"/>
      <x:c r="AE53" s="78"/>
    </x:row>
    <x:row r="54" ht="24" customHeight="1">
      <x:c r="A54" s="78"/>
      <x:c r="B54" s="103"/>
      <x:c r="C54" s="104" t="str">
        <x:v>자체</x:v>
      </x:c>
      <x:c r="D54" s="81" t="str">
        <x:v>인문학과 윤리</x:v>
      </x:c>
      <x:c r="E54" s="127"/>
      <x:c r="F54" s="128"/>
      <x:c r="G54" s="134"/>
      <x:c r="H54" s="128"/>
      <x:c r="I54" s="128"/>
      <x:c r="J54" s="134"/>
      <x:c r="K54" s="128"/>
      <x:c r="L54" s="128"/>
      <x:c r="M54" s="134"/>
      <x:c r="N54" s="128"/>
      <x:c r="O54" s="128"/>
      <x:c r="P54" s="134"/>
      <x:c r="Q54" s="128" t="n">
        <x:f>'기존안 과목내역'!I77</x:f>
        <x:v>3</x:v>
      </x:c>
      <x:c r="R54" s="128" t="n">
        <x:f>'기존안 과목내역'!J77</x:f>
        <x:v>3</x:v>
      </x:c>
      <x:c r="S54" s="134" t="n">
        <x:f>Q54*R54</x:f>
        <x:v>9</x:v>
      </x:c>
      <x:c r="T54" s="128"/>
      <x:c r="U54" s="128"/>
      <x:c r="V54" s="137"/>
      <x:c r="W54" s="78"/>
      <x:c r="X54" s="78"/>
      <x:c r="Y54" s="78"/>
      <x:c r="Z54" s="78"/>
      <x:c r="AA54" s="78"/>
      <x:c r="AB54" s="78"/>
      <x:c r="AC54" s="78"/>
      <x:c r="AD54" s="78"/>
      <x:c r="AE54" s="78"/>
    </x:row>
    <x:row r="55" ht="24" customHeight="1">
      <x:c r="A55" s="78"/>
      <x:c r="B55" s="103"/>
      <x:c r="C55" s="104" t="str">
        <x:v>자체</x:v>
      </x:c>
      <x:c r="D55" s="81" t="str">
        <x:v>윤리와 사상</x:v>
      </x:c>
      <x:c r="E55" s="127"/>
      <x:c r="F55" s="128"/>
      <x:c r="G55" s="134"/>
      <x:c r="H55" s="128"/>
      <x:c r="I55" s="128"/>
      <x:c r="J55" s="134"/>
      <x:c r="K55" s="128"/>
      <x:c r="L55" s="128"/>
      <x:c r="M55" s="134"/>
      <x:c r="N55" s="128" t="n">
        <x:f>'기존안 과목내역'!I92</x:f>
        <x:v>3</x:v>
      </x:c>
      <x:c r="O55" s="128" t="n">
        <x:f>'기존안 과목내역'!J92</x:f>
        <x:v>5</x:v>
      </x:c>
      <x:c r="P55" s="134" t="n">
        <x:f>N55*O55</x:f>
        <x:v>15</x:v>
      </x:c>
      <x:c r="Q55" s="128"/>
      <x:c r="R55" s="128"/>
      <x:c r="S55" s="134"/>
      <x:c r="T55" s="128"/>
      <x:c r="U55" s="128"/>
      <x:c r="V55" s="137"/>
      <x:c r="W55" s="78"/>
      <x:c r="X55" s="78"/>
      <x:c r="Y55" s="78"/>
      <x:c r="Z55" s="78"/>
      <x:c r="AA55" s="78"/>
      <x:c r="AB55" s="78"/>
      <x:c r="AC55" s="78"/>
      <x:c r="AD55" s="78"/>
      <x:c r="AE55" s="78"/>
    </x:row>
    <x:row r="56" ht="24" customHeight="1">
      <x:c r="A56" s="78"/>
      <x:c r="B56" s="103"/>
      <x:c r="C56" s="105" t="str">
        <x:v>통합</x:v>
      </x:c>
      <x:c r="D56" s="101" t="str">
        <x:v>통합사회1</x:v>
      </x:c>
      <x:c r="E56" s="127" t="n">
        <x:f>'기존안 과목내역'!I63</x:f>
        <x:v>4</x:v>
      </x:c>
      <x:c r="F56" s="128" t="n">
        <x:f>'공통융합 배정'!O21</x:f>
        <x:v>6</x:v>
      </x:c>
      <x:c r="G56" s="134" t="n">
        <x:f>'공통융합 배정'!P21</x:f>
        <x:v>24</x:v>
      </x:c>
      <x:c r="H56" s="128"/>
      <x:c r="I56" s="128"/>
      <x:c r="J56" s="134"/>
      <x:c r="K56" s="128"/>
      <x:c r="L56" s="128"/>
      <x:c r="M56" s="134"/>
      <x:c r="N56" s="128"/>
      <x:c r="O56" s="128"/>
      <x:c r="P56" s="134"/>
      <x:c r="Q56" s="128"/>
      <x:c r="R56" s="128"/>
      <x:c r="S56" s="134"/>
      <x:c r="T56" s="128"/>
      <x:c r="U56" s="128"/>
      <x:c r="V56" s="137"/>
      <x:c r="W56" s="78"/>
      <x:c r="X56" s="78"/>
      <x:c r="Y56" s="78"/>
      <x:c r="Z56" s="78"/>
      <x:c r="AA56" s="78"/>
      <x:c r="AB56" s="78"/>
      <x:c r="AC56" s="78"/>
      <x:c r="AD56" s="78"/>
      <x:c r="AE56" s="78"/>
    </x:row>
    <x:row r="57" ht="24" customHeight="1">
      <x:c r="A57" s="78"/>
      <x:c r="B57" s="103"/>
      <x:c r="C57" s="105" t="str">
        <x:v>융합</x:v>
      </x:c>
      <x:c r="D57" s="101" t="str">
        <x:v>기후변화와 지속가능한 세계</x:v>
      </x:c>
      <x:c r="E57" s="127"/>
      <x:c r="F57" s="128"/>
      <x:c r="G57" s="134"/>
      <x:c r="H57" s="128"/>
      <x:c r="I57" s="128"/>
      <x:c r="J57" s="134"/>
      <x:c r="K57" s="128"/>
      <x:c r="L57" s="128"/>
      <x:c r="M57" s="134"/>
      <x:c r="N57" s="128"/>
      <x:c r="O57" s="128"/>
      <x:c r="P57" s="134"/>
      <x:c r="Q57" s="128" t="n">
        <x:f>'기존안 과목내역'!I78</x:f>
        <x:v>3</x:v>
      </x:c>
      <x:c r="R57" s="128" t="n">
        <x:f>'공통융합 배정'!O22</x:f>
        <x:v>0</x:v>
      </x:c>
      <x:c r="S57" s="134" t="n">
        <x:f>'공통융합 배정'!P22</x:f>
        <x:v>0</x:v>
      </x:c>
      <x:c r="T57" s="128"/>
      <x:c r="U57" s="128"/>
      <x:c r="V57" s="137"/>
      <x:c r="W57" s="78"/>
      <x:c r="X57" s="78"/>
      <x:c r="Y57" s="78"/>
      <x:c r="Z57" s="78"/>
      <x:c r="AA57" s="78"/>
      <x:c r="AB57" s="78"/>
      <x:c r="AC57" s="78"/>
      <x:c r="AD57" s="78"/>
      <x:c r="AE57" s="78"/>
    </x:row>
    <x:row r="58" ht="24" customHeight="1">
      <x:c r="A58" s="78"/>
      <x:c r="B58" s="103"/>
      <x:c r="C58" s="105" t="str">
        <x:v>융합</x:v>
      </x:c>
      <x:c r="D58" s="101" t="str">
        <x:v>사회문제 탐구</x:v>
      </x:c>
      <x:c r="E58" s="127"/>
      <x:c r="F58" s="128"/>
      <x:c r="G58" s="134"/>
      <x:c r="H58" s="128"/>
      <x:c r="I58" s="128"/>
      <x:c r="J58" s="134"/>
      <x:c r="K58" s="128"/>
      <x:c r="L58" s="128"/>
      <x:c r="M58" s="134"/>
      <x:c r="N58" s="128"/>
      <x:c r="O58" s="128"/>
      <x:c r="P58" s="134"/>
      <x:c r="Q58" s="128" t="n">
        <x:f>'기존안 과목내역'!I79</x:f>
        <x:v>3</x:v>
      </x:c>
      <x:c r="R58" s="128" t="n">
        <x:f>'공통융합 배정'!O23</x:f>
        <x:v>0</x:v>
      </x:c>
      <x:c r="S58" s="134" t="n">
        <x:f>'공통융합 배정'!P23</x:f>
        <x:v>0</x:v>
      </x:c>
      <x:c r="T58" s="128"/>
      <x:c r="U58" s="128"/>
      <x:c r="V58" s="137"/>
      <x:c r="W58" s="78"/>
      <x:c r="X58" s="78"/>
      <x:c r="Y58" s="78"/>
      <x:c r="Z58" s="78"/>
      <x:c r="AA58" s="78"/>
      <x:c r="AB58" s="78"/>
      <x:c r="AC58" s="78"/>
      <x:c r="AD58" s="78"/>
      <x:c r="AE58" s="78"/>
    </x:row>
    <x:row r="59" ht="24" customHeight="1">
      <x:c r="A59" s="78"/>
      <x:c r="B59" s="103"/>
      <x:c r="C59" s="105" t="str">
        <x:v>융합</x:v>
      </x:c>
      <x:c r="D59" s="101" t="str">
        <x:v>역사로 탐구하는 현대 세계</x:v>
      </x:c>
      <x:c r="E59" s="127"/>
      <x:c r="F59" s="128"/>
      <x:c r="G59" s="134"/>
      <x:c r="H59" s="128"/>
      <x:c r="I59" s="128"/>
      <x:c r="J59" s="134"/>
      <x:c r="K59" s="128"/>
      <x:c r="L59" s="128"/>
      <x:c r="M59" s="134"/>
      <x:c r="N59" s="128"/>
      <x:c r="O59" s="128"/>
      <x:c r="P59" s="134"/>
      <x:c r="Q59" s="128" t="n">
        <x:f>'기존안 과목내역'!I80</x:f>
        <x:v>3</x:v>
      </x:c>
      <x:c r="R59" s="128" t="n">
        <x:f>'공통융합 배정'!O24</x:f>
        <x:v>0</x:v>
      </x:c>
      <x:c r="S59" s="134" t="n">
        <x:f>'공통융합 배정'!P24</x:f>
        <x:v>0</x:v>
      </x:c>
      <x:c r="T59" s="128"/>
      <x:c r="U59" s="128"/>
      <x:c r="V59" s="137"/>
      <x:c r="W59" s="78"/>
      <x:c r="X59" s="78"/>
      <x:c r="Y59" s="78"/>
      <x:c r="Z59" s="78"/>
      <x:c r="AA59" s="78"/>
      <x:c r="AB59" s="78"/>
      <x:c r="AC59" s="78"/>
      <x:c r="AD59" s="78"/>
      <x:c r="AE59" s="78"/>
    </x:row>
    <x:row r="60" ht="24" customHeight="1">
      <x:c r="A60" s="78"/>
      <x:c r="B60" s="103"/>
      <x:c r="C60" s="105" t="str">
        <x:v>통합</x:v>
      </x:c>
      <x:c r="D60" s="101" t="str">
        <x:v>통합사회2</x:v>
      </x:c>
      <x:c r="E60" s="127"/>
      <x:c r="F60" s="128"/>
      <x:c r="G60" s="134"/>
      <x:c r="H60" s="128" t="n">
        <x:f>'기존안 과목내역'!I87</x:f>
        <x:v>4</x:v>
      </x:c>
      <x:c r="I60" s="128" t="n">
        <x:f>'공통융합 배정'!O25</x:f>
        <x:v>5</x:v>
      </x:c>
      <x:c r="J60" s="134" t="n">
        <x:f>'공통융합 배정'!P25</x:f>
        <x:v>20</x:v>
      </x:c>
      <x:c r="K60" s="128"/>
      <x:c r="L60" s="128"/>
      <x:c r="M60" s="134"/>
      <x:c r="N60" s="128"/>
      <x:c r="O60" s="128"/>
      <x:c r="P60" s="134"/>
      <x:c r="Q60" s="128"/>
      <x:c r="R60" s="128"/>
      <x:c r="S60" s="134"/>
      <x:c r="T60" s="128"/>
      <x:c r="U60" s="128"/>
      <x:c r="V60" s="137"/>
      <x:c r="W60" s="78"/>
      <x:c r="X60" s="78"/>
      <x:c r="Y60" s="78"/>
      <x:c r="Z60" s="78"/>
      <x:c r="AA60" s="78"/>
      <x:c r="AB60" s="78"/>
      <x:c r="AC60" s="78"/>
      <x:c r="AD60" s="78"/>
      <x:c r="AE60" s="78"/>
    </x:row>
    <x:row r="61" ht="24" customHeight="1">
      <x:c r="A61" s="78"/>
      <x:c r="B61" s="103"/>
      <x:c r="C61" s="105" t="str">
        <x:v>융합</x:v>
      </x:c>
      <x:c r="D61" s="101" t="str">
        <x:v>금융과 경제생활</x:v>
      </x:c>
      <x:c r="E61" s="127"/>
      <x:c r="F61" s="128"/>
      <x:c r="G61" s="134"/>
      <x:c r="H61" s="128"/>
      <x:c r="I61" s="128"/>
      <x:c r="J61" s="134"/>
      <x:c r="K61" s="128"/>
      <x:c r="L61" s="128"/>
      <x:c r="M61" s="134"/>
      <x:c r="N61" s="128"/>
      <x:c r="O61" s="128"/>
      <x:c r="P61" s="134"/>
      <x:c r="Q61" s="128"/>
      <x:c r="R61" s="128"/>
      <x:c r="S61" s="134"/>
      <x:c r="T61" s="128" t="n">
        <x:f>'기존안 과목내역'!I100</x:f>
        <x:v>3</x:v>
      </x:c>
      <x:c r="U61" s="128" t="n">
        <x:f>'공통융합 배정'!O26</x:f>
        <x:v>0</x:v>
      </x:c>
      <x:c r="V61" s="137" t="n">
        <x:f>'공통융합 배정'!P26</x:f>
        <x:v>0</x:v>
      </x:c>
      <x:c r="W61" s="78"/>
      <x:c r="X61" s="78"/>
      <x:c r="Y61" s="78"/>
      <x:c r="Z61" s="78"/>
      <x:c r="AA61" s="78"/>
      <x:c r="AB61" s="78"/>
      <x:c r="AC61" s="78"/>
      <x:c r="AD61" s="78"/>
      <x:c r="AE61" s="78"/>
    </x:row>
    <x:row r="62" ht="24" customHeight="1">
      <x:c r="A62" s="78"/>
      <x:c r="B62" s="103"/>
      <x:c r="C62" s="105" t="str">
        <x:v>융합</x:v>
      </x:c>
      <x:c r="D62" s="101" t="str">
        <x:v>여행지리</x:v>
      </x:c>
      <x:c r="E62" s="127"/>
      <x:c r="F62" s="128"/>
      <x:c r="G62" s="134"/>
      <x:c r="H62" s="128"/>
      <x:c r="I62" s="128"/>
      <x:c r="J62" s="134"/>
      <x:c r="K62" s="128"/>
      <x:c r="L62" s="128"/>
      <x:c r="M62" s="134"/>
      <x:c r="N62" s="128"/>
      <x:c r="O62" s="128"/>
      <x:c r="P62" s="134"/>
      <x:c r="Q62" s="128"/>
      <x:c r="R62" s="128"/>
      <x:c r="S62" s="134"/>
      <x:c r="T62" s="128" t="n">
        <x:f>'기존안 과목내역'!I101</x:f>
        <x:v>3</x:v>
      </x:c>
      <x:c r="U62" s="128" t="n">
        <x:f>'공통융합 배정'!O27</x:f>
        <x:v>0</x:v>
      </x:c>
      <x:c r="V62" s="137" t="n">
        <x:f>'공통융합 배정'!P27</x:f>
        <x:v>0</x:v>
      </x:c>
      <x:c r="W62" s="78"/>
      <x:c r="X62" s="78"/>
      <x:c r="Y62" s="78"/>
      <x:c r="Z62" s="78"/>
      <x:c r="AA62" s="78"/>
      <x:c r="AB62" s="78"/>
      <x:c r="AC62" s="78"/>
      <x:c r="AD62" s="78"/>
      <x:c r="AE62" s="78"/>
    </x:row>
    <x:row r="63" ht="24" customHeight="1">
      <x:c r="A63" s="78"/>
      <x:c r="B63" s="103"/>
      <x:c r="C63" s="105" t="str">
        <x:v>융합</x:v>
      </x:c>
      <x:c r="D63" s="101" t="str">
        <x:v>윤리문제 탐구</x:v>
      </x:c>
      <x:c r="E63" s="130"/>
      <x:c r="F63" s="131"/>
      <x:c r="G63" s="135"/>
      <x:c r="H63" s="131"/>
      <x:c r="I63" s="131"/>
      <x:c r="J63" s="135"/>
      <x:c r="K63" s="131"/>
      <x:c r="L63" s="131"/>
      <x:c r="M63" s="135"/>
      <x:c r="N63" s="131"/>
      <x:c r="O63" s="131"/>
      <x:c r="P63" s="135"/>
      <x:c r="Q63" s="131"/>
      <x:c r="R63" s="131"/>
      <x:c r="S63" s="135"/>
      <x:c r="T63" s="131" t="n">
        <x:f>'기존안 과목내역'!I102</x:f>
        <x:v>3</x:v>
      </x:c>
      <x:c r="U63" s="131" t="n">
        <x:f>'공통융합 배정'!O28</x:f>
        <x:v>4</x:v>
      </x:c>
      <x:c r="V63" s="138" t="n">
        <x:f>'공통융합 배정'!P28</x:f>
        <x:v>12</x:v>
      </x:c>
      <x:c r="W63" s="78"/>
      <x:c r="X63" s="78"/>
      <x:c r="Y63" s="78"/>
      <x:c r="Z63" s="78"/>
      <x:c r="AA63" s="78"/>
      <x:c r="AB63" s="78"/>
      <x:c r="AC63" s="78"/>
      <x:c r="AD63" s="78"/>
      <x:c r="AE63" s="78"/>
    </x:row>
    <x:row r="64" ht="30" customHeight="1">
      <x:c r="A64" s="78"/>
      <x:c r="B64" s="141" t="str">
        <x:v>물리학 합계</x:v>
      </x:c>
      <x:c r="C64" s="141"/>
      <x:c r="D64" s="141"/>
      <x:c r="E64" s="141"/>
      <x:c r="F64" s="141"/>
      <x:c r="G64" s="141" t="n">
        <x:f>SUM(G68,G69)</x:f>
        <x:v>12</x:v>
      </x:c>
      <x:c r="H64" s="141"/>
      <x:c r="I64" s="141"/>
      <x:c r="J64" s="141" t="n">
        <x:f>SUM(J70,J71)</x:f>
        <x:v>18</x:v>
      </x:c>
      <x:c r="K64" s="141"/>
      <x:c r="L64" s="141"/>
      <x:c r="M64" s="141" t="n">
        <x:f>SUM(M65)</x:f>
        <x:v>12</x:v>
      </x:c>
      <x:c r="N64" s="141"/>
      <x:c r="O64" s="141"/>
      <x:c r="P64" s="141" t="n">
        <x:f>SUM(P67)</x:f>
        <x:v>12</x:v>
      </x:c>
      <x:c r="Q64" s="141"/>
      <x:c r="R64" s="141"/>
      <x:c r="S64" s="141" t="n">
        <x:f>SUM(S66)</x:f>
        <x:v>6</x:v>
      </x:c>
      <x:c r="T64" s="141"/>
      <x:c r="U64" s="141"/>
      <x:c r="V64" s="141" t="n">
        <x:f>SUM(V72,V73,V74)</x:f>
        <x:v>9</x:v>
      </x:c>
      <x:c r="W64" s="141" t="n">
        <x:f>IF(ISNUMBER('산정근거'!C14),'산정근거'!C14,"미정")</x:f>
        <x:v>2</x:v>
      </x:c>
      <x:c r="X64" s="143" t="n">
        <x:f>SUM(M65,S66)</x:f>
        <x:v>18</x:v>
      </x:c>
      <x:c r="Y64" s="143" t="n">
        <x:f>SUM(G68,G69)</x:f>
        <x:v>12</x:v>
      </x:c>
      <x:c r="Z64" s="143" t="n">
        <x:f>X64+Y64</x:f>
        <x:v>30</x:v>
      </x:c>
      <x:c r="AA64" s="144" t="n">
        <x:f>IF(OR(NOT(ISNUMBER(W64)),W64&lt;=0),"미정",Z64/W64)</x:f>
        <x:v>15</x:v>
      </x:c>
      <x:c r="AB64" s="143" t="n">
        <x:f>SUM(P67)</x:f>
        <x:v>12</x:v>
      </x:c>
      <x:c r="AC64" s="143" t="n">
        <x:f>SUM(J70,J71,V72,V73,V74)</x:f>
        <x:v>27</x:v>
      </x:c>
      <x:c r="AD64" s="143" t="n">
        <x:f>AB64+AC64</x:f>
        <x:v>39</x:v>
      </x:c>
      <x:c r="AE64" s="144" t="n">
        <x:f>IF(OR(NOT(ISNUMBER(W64)),W64&lt;=0),"미정",AD64/W64)</x:f>
        <x:v>19.5</x:v>
      </x:c>
    </x:row>
    <x:row r="65" ht="24" customHeight="1">
      <x:c r="A65" s="78"/>
      <x:c r="B65" s="103" t="str">
        <x:v>물리</x:v>
      </x:c>
      <x:c r="C65" s="104" t="str">
        <x:v>자체</x:v>
      </x:c>
      <x:c r="D65" s="81" t="str">
        <x:v>물리학</x:v>
      </x:c>
      <x:c r="E65" s="124"/>
      <x:c r="F65" s="125"/>
      <x:c r="G65" s="133"/>
      <x:c r="H65" s="125"/>
      <x:c r="I65" s="125"/>
      <x:c r="J65" s="133"/>
      <x:c r="K65" s="125" t="n">
        <x:f>'기존안 과목내역'!I70</x:f>
        <x:v>3</x:v>
      </x:c>
      <x:c r="L65" s="125" t="n">
        <x:f>'기존안 과목내역'!J70</x:f>
        <x:v>4</x:v>
      </x:c>
      <x:c r="M65" s="133" t="n">
        <x:f>K65*L65</x:f>
        <x:v>12</x:v>
      </x:c>
      <x:c r="N65" s="125"/>
      <x:c r="O65" s="125"/>
      <x:c r="P65" s="133"/>
      <x:c r="Q65" s="125"/>
      <x:c r="R65" s="125"/>
      <x:c r="S65" s="133"/>
      <x:c r="T65" s="125"/>
      <x:c r="U65" s="125"/>
      <x:c r="V65" s="136"/>
      <x:c r="W65" s="78"/>
      <x:c r="X65" s="78"/>
      <x:c r="Y65" s="78"/>
      <x:c r="Z65" s="78"/>
      <x:c r="AA65" s="78"/>
      <x:c r="AB65" s="78"/>
      <x:c r="AC65" s="78"/>
      <x:c r="AD65" s="78"/>
      <x:c r="AE65" s="78"/>
    </x:row>
    <x:row r="66" ht="24" customHeight="1">
      <x:c r="A66" s="78"/>
      <x:c r="B66" s="103"/>
      <x:c r="C66" s="104" t="str">
        <x:v>자체</x:v>
      </x:c>
      <x:c r="D66" s="81" t="str">
        <x:v>전자기와 양자</x:v>
      </x:c>
      <x:c r="E66" s="127"/>
      <x:c r="F66" s="128"/>
      <x:c r="G66" s="134"/>
      <x:c r="H66" s="128"/>
      <x:c r="I66" s="128"/>
      <x:c r="J66" s="134"/>
      <x:c r="K66" s="128"/>
      <x:c r="L66" s="128"/>
      <x:c r="M66" s="134"/>
      <x:c r="N66" s="128"/>
      <x:c r="O66" s="128"/>
      <x:c r="P66" s="134"/>
      <x:c r="Q66" s="128" t="n">
        <x:f>'기존안 과목내역'!I83</x:f>
        <x:v>3</x:v>
      </x:c>
      <x:c r="R66" s="128" t="n">
        <x:f>'기존안 과목내역'!J83</x:f>
        <x:v>2</x:v>
      </x:c>
      <x:c r="S66" s="134" t="n">
        <x:f>Q66*R66</x:f>
        <x:v>6</x:v>
      </x:c>
      <x:c r="T66" s="128"/>
      <x:c r="U66" s="128"/>
      <x:c r="V66" s="137"/>
      <x:c r="W66" s="78"/>
      <x:c r="X66" s="78"/>
      <x:c r="Y66" s="78"/>
      <x:c r="Z66" s="78"/>
      <x:c r="AA66" s="78"/>
      <x:c r="AB66" s="78"/>
      <x:c r="AC66" s="78"/>
      <x:c r="AD66" s="78"/>
      <x:c r="AE66" s="78"/>
    </x:row>
    <x:row r="67" ht="24" customHeight="1">
      <x:c r="A67" s="78"/>
      <x:c r="B67" s="103"/>
      <x:c r="C67" s="104" t="str">
        <x:v>자체</x:v>
      </x:c>
      <x:c r="D67" s="81" t="str">
        <x:v>역학과 에너지</x:v>
      </x:c>
      <x:c r="E67" s="127"/>
      <x:c r="F67" s="128"/>
      <x:c r="G67" s="134"/>
      <x:c r="H67" s="128"/>
      <x:c r="I67" s="128"/>
      <x:c r="J67" s="134"/>
      <x:c r="K67" s="128"/>
      <x:c r="L67" s="128"/>
      <x:c r="M67" s="134"/>
      <x:c r="N67" s="128" t="n">
        <x:f>'기존안 과목내역'!I97</x:f>
        <x:v>3</x:v>
      </x:c>
      <x:c r="O67" s="128" t="n">
        <x:f>'기존안 과목내역'!J97</x:f>
        <x:v>4</x:v>
      </x:c>
      <x:c r="P67" s="134" t="n">
        <x:f>N67*O67</x:f>
        <x:v>12</x:v>
      </x:c>
      <x:c r="Q67" s="128"/>
      <x:c r="R67" s="128"/>
      <x:c r="S67" s="134"/>
      <x:c r="T67" s="128"/>
      <x:c r="U67" s="128"/>
      <x:c r="V67" s="137"/>
      <x:c r="W67" s="78"/>
      <x:c r="X67" s="78"/>
      <x:c r="Y67" s="78"/>
      <x:c r="Z67" s="78"/>
      <x:c r="AA67" s="78"/>
      <x:c r="AB67" s="78"/>
      <x:c r="AC67" s="78"/>
      <x:c r="AD67" s="78"/>
      <x:c r="AE67" s="78"/>
    </x:row>
    <x:row r="68" ht="24" customHeight="1">
      <x:c r="A68" s="78"/>
      <x:c r="B68" s="103"/>
      <x:c r="C68" s="105" t="str">
        <x:v>통합</x:v>
      </x:c>
      <x:c r="D68" s="101" t="str">
        <x:v>통합과학1</x:v>
      </x:c>
      <x:c r="E68" s="127" t="n">
        <x:f>'기존안 과목내역'!I64</x:f>
        <x:v>4</x:v>
      </x:c>
      <x:c r="F68" s="128" t="n">
        <x:f>'공통융합 배정'!I48</x:f>
        <x:v>2</x:v>
      </x:c>
      <x:c r="G68" s="134" t="n">
        <x:f>'공통융합 배정'!J48</x:f>
        <x:v>8</x:v>
      </x:c>
      <x:c r="H68" s="128"/>
      <x:c r="I68" s="128"/>
      <x:c r="J68" s="134"/>
      <x:c r="K68" s="128"/>
      <x:c r="L68" s="128"/>
      <x:c r="M68" s="134"/>
      <x:c r="N68" s="128"/>
      <x:c r="O68" s="128"/>
      <x:c r="P68" s="134"/>
      <x:c r="Q68" s="128"/>
      <x:c r="R68" s="128"/>
      <x:c r="S68" s="134"/>
      <x:c r="T68" s="128"/>
      <x:c r="U68" s="128"/>
      <x:c r="V68" s="137"/>
      <x:c r="W68" s="78"/>
      <x:c r="X68" s="78"/>
      <x:c r="Y68" s="78"/>
      <x:c r="Z68" s="78"/>
      <x:c r="AA68" s="78"/>
      <x:c r="AB68" s="78"/>
      <x:c r="AC68" s="78"/>
      <x:c r="AD68" s="78"/>
      <x:c r="AE68" s="78"/>
    </x:row>
    <x:row r="69" ht="24" customHeight="1">
      <x:c r="A69" s="78"/>
      <x:c r="B69" s="103"/>
      <x:c r="C69" s="105" t="str">
        <x:v>실험</x:v>
      </x:c>
      <x:c r="D69" s="101" t="str">
        <x:v>과학탐구실험1</x:v>
      </x:c>
      <x:c r="E69" s="127" t="n">
        <x:f>'기존안 과목내역'!I65</x:f>
        <x:v>1</x:v>
      </x:c>
      <x:c r="F69" s="128" t="n">
        <x:f>'공통융합 배정'!I49</x:f>
        <x:v>4</x:v>
      </x:c>
      <x:c r="G69" s="134" t="n">
        <x:f>'공통융합 배정'!J49</x:f>
        <x:v>4</x:v>
      </x:c>
      <x:c r="H69" s="128"/>
      <x:c r="I69" s="128"/>
      <x:c r="J69" s="134"/>
      <x:c r="K69" s="128"/>
      <x:c r="L69" s="128"/>
      <x:c r="M69" s="134"/>
      <x:c r="N69" s="128"/>
      <x:c r="O69" s="128"/>
      <x:c r="P69" s="134"/>
      <x:c r="Q69" s="128"/>
      <x:c r="R69" s="128"/>
      <x:c r="S69" s="134"/>
      <x:c r="T69" s="128"/>
      <x:c r="U69" s="128"/>
      <x:c r="V69" s="137"/>
      <x:c r="W69" s="78"/>
      <x:c r="X69" s="78"/>
      <x:c r="Y69" s="78"/>
      <x:c r="Z69" s="78"/>
      <x:c r="AA69" s="78"/>
      <x:c r="AB69" s="78"/>
      <x:c r="AC69" s="78"/>
      <x:c r="AD69" s="78"/>
      <x:c r="AE69" s="78"/>
    </x:row>
    <x:row r="70" ht="24" customHeight="1">
      <x:c r="A70" s="78"/>
      <x:c r="B70" s="103"/>
      <x:c r="C70" s="105" t="str">
        <x:v>통합</x:v>
      </x:c>
      <x:c r="D70" s="101" t="str">
        <x:v>통합과학2</x:v>
      </x:c>
      <x:c r="E70" s="127"/>
      <x:c r="F70" s="128"/>
      <x:c r="G70" s="134"/>
      <x:c r="H70" s="128" t="n">
        <x:f>'기존안 과목내역'!I88</x:f>
        <x:v>4</x:v>
      </x:c>
      <x:c r="I70" s="128" t="n">
        <x:f>'공통융합 배정'!I50</x:f>
        <x:v>4</x:v>
      </x:c>
      <x:c r="J70" s="134" t="n">
        <x:f>'공통융합 배정'!J50</x:f>
        <x:v>16</x:v>
      </x:c>
      <x:c r="K70" s="128"/>
      <x:c r="L70" s="128"/>
      <x:c r="M70" s="134"/>
      <x:c r="N70" s="128"/>
      <x:c r="O70" s="128"/>
      <x:c r="P70" s="134"/>
      <x:c r="Q70" s="128"/>
      <x:c r="R70" s="128"/>
      <x:c r="S70" s="134"/>
      <x:c r="T70" s="128"/>
      <x:c r="U70" s="128"/>
      <x:c r="V70" s="137"/>
      <x:c r="W70" s="78"/>
      <x:c r="X70" s="78"/>
      <x:c r="Y70" s="78"/>
      <x:c r="Z70" s="78"/>
      <x:c r="AA70" s="78"/>
      <x:c r="AB70" s="78"/>
      <x:c r="AC70" s="78"/>
      <x:c r="AD70" s="78"/>
      <x:c r="AE70" s="78"/>
    </x:row>
    <x:row r="71" ht="24" customHeight="1">
      <x:c r="A71" s="78"/>
      <x:c r="B71" s="103"/>
      <x:c r="C71" s="105" t="str">
        <x:v>실험</x:v>
      </x:c>
      <x:c r="D71" s="101" t="str">
        <x:v>과학탐구실험2</x:v>
      </x:c>
      <x:c r="E71" s="127"/>
      <x:c r="F71" s="128"/>
      <x:c r="G71" s="134"/>
      <x:c r="H71" s="128" t="n">
        <x:f>'기존안 과목내역'!I89</x:f>
        <x:v>1</x:v>
      </x:c>
      <x:c r="I71" s="128" t="n">
        <x:f>'공통융합 배정'!I51</x:f>
        <x:v>2</x:v>
      </x:c>
      <x:c r="J71" s="134" t="n">
        <x:f>'공통융합 배정'!J51</x:f>
        <x:v>2</x:v>
      </x:c>
      <x:c r="K71" s="128"/>
      <x:c r="L71" s="128"/>
      <x:c r="M71" s="134"/>
      <x:c r="N71" s="128"/>
      <x:c r="O71" s="128"/>
      <x:c r="P71" s="134"/>
      <x:c r="Q71" s="128"/>
      <x:c r="R71" s="128"/>
      <x:c r="S71" s="134"/>
      <x:c r="T71" s="128"/>
      <x:c r="U71" s="128"/>
      <x:c r="V71" s="137"/>
      <x:c r="W71" s="78"/>
      <x:c r="X71" s="78"/>
      <x:c r="Y71" s="78"/>
      <x:c r="Z71" s="78"/>
      <x:c r="AA71" s="78"/>
      <x:c r="AB71" s="78"/>
      <x:c r="AC71" s="78"/>
      <x:c r="AD71" s="78"/>
      <x:c r="AE71" s="78"/>
    </x:row>
    <x:row r="72" ht="24" customHeight="1">
      <x:c r="A72" s="78"/>
      <x:c r="B72" s="103"/>
      <x:c r="C72" s="105" t="str">
        <x:v>융합</x:v>
      </x:c>
      <x:c r="D72" s="101" t="str">
        <x:v>과학의 역사와 문화</x:v>
      </x:c>
      <x:c r="E72" s="127"/>
      <x:c r="F72" s="128"/>
      <x:c r="G72" s="134"/>
      <x:c r="H72" s="128"/>
      <x:c r="I72" s="128"/>
      <x:c r="J72" s="134"/>
      <x:c r="K72" s="128"/>
      <x:c r="L72" s="128"/>
      <x:c r="M72" s="134"/>
      <x:c r="N72" s="128"/>
      <x:c r="O72" s="128"/>
      <x:c r="P72" s="134"/>
      <x:c r="Q72" s="128"/>
      <x:c r="R72" s="128"/>
      <x:c r="S72" s="134"/>
      <x:c r="T72" s="128" t="n">
        <x:f>'기존안 과목내역'!I103</x:f>
        <x:v>3</x:v>
      </x:c>
      <x:c r="U72" s="128" t="n">
        <x:f>'공통융합 배정'!I52</x:f>
        <x:v>1</x:v>
      </x:c>
      <x:c r="V72" s="137" t="n">
        <x:f>'공통융합 배정'!J52</x:f>
        <x:v>3</x:v>
      </x:c>
      <x:c r="W72" s="78"/>
      <x:c r="X72" s="78"/>
      <x:c r="Y72" s="78"/>
      <x:c r="Z72" s="78"/>
      <x:c r="AA72" s="78"/>
      <x:c r="AB72" s="78"/>
      <x:c r="AC72" s="78"/>
      <x:c r="AD72" s="78"/>
      <x:c r="AE72" s="78"/>
    </x:row>
    <x:row r="73" ht="24" customHeight="1">
      <x:c r="A73" s="78"/>
      <x:c r="B73" s="103"/>
      <x:c r="C73" s="105" t="str">
        <x:v>융합</x:v>
      </x:c>
      <x:c r="D73" s="101" t="str">
        <x:v>기후변화와 환경생태</x:v>
      </x:c>
      <x:c r="E73" s="127"/>
      <x:c r="F73" s="128"/>
      <x:c r="G73" s="134"/>
      <x:c r="H73" s="128"/>
      <x:c r="I73" s="128"/>
      <x:c r="J73" s="134"/>
      <x:c r="K73" s="128"/>
      <x:c r="L73" s="128"/>
      <x:c r="M73" s="134"/>
      <x:c r="N73" s="128"/>
      <x:c r="O73" s="128"/>
      <x:c r="P73" s="134"/>
      <x:c r="Q73" s="128"/>
      <x:c r="R73" s="128"/>
      <x:c r="S73" s="134"/>
      <x:c r="T73" s="128" t="n">
        <x:f>'기존안 과목내역'!I104</x:f>
        <x:v>3</x:v>
      </x:c>
      <x:c r="U73" s="128" t="n">
        <x:f>'공통융합 배정'!I53</x:f>
        <x:v>0</x:v>
      </x:c>
      <x:c r="V73" s="137" t="n">
        <x:f>'공통융합 배정'!J53</x:f>
        <x:v>0</x:v>
      </x:c>
      <x:c r="W73" s="78"/>
      <x:c r="X73" s="78"/>
      <x:c r="Y73" s="78"/>
      <x:c r="Z73" s="78"/>
      <x:c r="AA73" s="78"/>
      <x:c r="AB73" s="78"/>
      <x:c r="AC73" s="78"/>
      <x:c r="AD73" s="78"/>
      <x:c r="AE73" s="78"/>
    </x:row>
    <x:row r="74" ht="24" customHeight="1">
      <x:c r="A74" s="78"/>
      <x:c r="B74" s="103"/>
      <x:c r="C74" s="105" t="str">
        <x:v>융합</x:v>
      </x:c>
      <x:c r="D74" s="101" t="str">
        <x:v>융합과학 탐구</x:v>
      </x:c>
      <x:c r="E74" s="130"/>
      <x:c r="F74" s="131"/>
      <x:c r="G74" s="135"/>
      <x:c r="H74" s="131"/>
      <x:c r="I74" s="131"/>
      <x:c r="J74" s="135"/>
      <x:c r="K74" s="131"/>
      <x:c r="L74" s="131"/>
      <x:c r="M74" s="135"/>
      <x:c r="N74" s="131"/>
      <x:c r="O74" s="131"/>
      <x:c r="P74" s="135"/>
      <x:c r="Q74" s="131"/>
      <x:c r="R74" s="131"/>
      <x:c r="S74" s="135"/>
      <x:c r="T74" s="131" t="n">
        <x:f>'기존안 과목내역'!I105</x:f>
        <x:v>3</x:v>
      </x:c>
      <x:c r="U74" s="131" t="n">
        <x:f>'공통융합 배정'!I54</x:f>
        <x:v>2</x:v>
      </x:c>
      <x:c r="V74" s="138" t="n">
        <x:f>'공통융합 배정'!J54</x:f>
        <x:v>6</x:v>
      </x:c>
      <x:c r="W74" s="78"/>
      <x:c r="X74" s="78"/>
      <x:c r="Y74" s="78"/>
      <x:c r="Z74" s="78"/>
      <x:c r="AA74" s="78"/>
      <x:c r="AB74" s="78"/>
      <x:c r="AC74" s="78"/>
      <x:c r="AD74" s="78"/>
      <x:c r="AE74" s="78"/>
    </x:row>
    <x:row r="75" ht="30" customHeight="1">
      <x:c r="A75" s="78"/>
      <x:c r="B75" s="141" t="str">
        <x:v>화학 합계</x:v>
      </x:c>
      <x:c r="C75" s="141"/>
      <x:c r="D75" s="141"/>
      <x:c r="E75" s="141"/>
      <x:c r="F75" s="141"/>
      <x:c r="G75" s="141" t="n">
        <x:f>SUM(G79,G80)</x:f>
        <x:v>0</x:v>
      </x:c>
      <x:c r="H75" s="141"/>
      <x:c r="I75" s="141"/>
      <x:c r="J75" s="141" t="n">
        <x:f>SUM(J81,J82)</x:f>
        <x:v>28</x:v>
      </x:c>
      <x:c r="K75" s="141"/>
      <x:c r="L75" s="141"/>
      <x:c r="M75" s="141" t="n">
        <x:f>SUM(M76)</x:f>
        <x:v>15</x:v>
      </x:c>
      <x:c r="N75" s="141"/>
      <x:c r="O75" s="141"/>
      <x:c r="P75" s="141" t="n">
        <x:f>SUM(P78)</x:f>
        <x:v>15</x:v>
      </x:c>
      <x:c r="Q75" s="141"/>
      <x:c r="R75" s="141"/>
      <x:c r="S75" s="141" t="n">
        <x:f>SUM(S77,S78)</x:f>
        <x:v>45</x:v>
      </x:c>
      <x:c r="T75" s="141"/>
      <x:c r="U75" s="141"/>
      <x:c r="V75" s="141" t="n">
        <x:f>SUM(V83,V84,V85)</x:f>
        <x:v>15</x:v>
      </x:c>
      <x:c r="W75" s="141" t="n">
        <x:f>IF(ISNUMBER('산정근거'!C15),'산정근거'!C15,"미정")</x:f>
        <x:v>3</x:v>
      </x:c>
      <x:c r="X75" s="143" t="n">
        <x:f>SUM(M76,S77,S78)</x:f>
        <x:v>60</x:v>
      </x:c>
      <x:c r="Y75" s="143" t="n">
        <x:f>SUM(G79,G80)</x:f>
        <x:v>0</x:v>
      </x:c>
      <x:c r="Z75" s="143" t="n">
        <x:f>X75+Y75</x:f>
        <x:v>60</x:v>
      </x:c>
      <x:c r="AA75" s="144" t="n">
        <x:f>IF(OR(NOT(ISNUMBER(W75)),W75&lt;=0),"미정",Z75/W75)</x:f>
        <x:v>20</x:v>
      </x:c>
      <x:c r="AB75" s="143" t="n">
        <x:f>SUM(P78)</x:f>
        <x:v>15</x:v>
      </x:c>
      <x:c r="AC75" s="143" t="n">
        <x:f>SUM(J81,J82,V83,V84,V85)</x:f>
        <x:v>43</x:v>
      </x:c>
      <x:c r="AD75" s="143" t="n">
        <x:f>AB75+AC75</x:f>
        <x:v>58</x:v>
      </x:c>
      <x:c r="AE75" s="144" t="n">
        <x:f>IF(OR(NOT(ISNUMBER(W75)),W75&lt;=0),"미정",AD75/W75)</x:f>
        <x:v>19.333333333333332</x:v>
      </x:c>
    </x:row>
    <x:row r="76" ht="24" customHeight="1">
      <x:c r="A76" s="78"/>
      <x:c r="B76" s="103" t="str">
        <x:v>화학</x:v>
      </x:c>
      <x:c r="C76" s="104" t="str">
        <x:v>자체</x:v>
      </x:c>
      <x:c r="D76" s="81" t="str">
        <x:v>화학</x:v>
      </x:c>
      <x:c r="E76" s="124"/>
      <x:c r="F76" s="125"/>
      <x:c r="G76" s="133"/>
      <x:c r="H76" s="125"/>
      <x:c r="I76" s="125"/>
      <x:c r="J76" s="133"/>
      <x:c r="K76" s="125" t="n">
        <x:f>'기존안 과목내역'!I73</x:f>
        <x:v>3</x:v>
      </x:c>
      <x:c r="L76" s="125" t="n">
        <x:f>'기존안 과목내역'!J73</x:f>
        <x:v>5</x:v>
      </x:c>
      <x:c r="M76" s="133" t="n">
        <x:f>K76*L76</x:f>
        <x:v>15</x:v>
      </x:c>
      <x:c r="N76" s="125"/>
      <x:c r="O76" s="125"/>
      <x:c r="P76" s="133"/>
      <x:c r="Q76" s="125"/>
      <x:c r="R76" s="125"/>
      <x:c r="S76" s="133"/>
      <x:c r="T76" s="125"/>
      <x:c r="U76" s="125"/>
      <x:c r="V76" s="136"/>
      <x:c r="W76" s="78"/>
      <x:c r="X76" s="78"/>
      <x:c r="Y76" s="78"/>
      <x:c r="Z76" s="78"/>
      <x:c r="AA76" s="78"/>
      <x:c r="AB76" s="78"/>
      <x:c r="AC76" s="78"/>
      <x:c r="AD76" s="78"/>
      <x:c r="AE76" s="78"/>
    </x:row>
    <x:row r="77" ht="24" customHeight="1">
      <x:c r="A77" s="78"/>
      <x:c r="B77" s="103"/>
      <x:c r="C77" s="104" t="str">
        <x:v>자체</x:v>
      </x:c>
      <x:c r="D77" s="81" t="str">
        <x:v>물질과 에너지</x:v>
      </x:c>
      <x:c r="E77" s="127"/>
      <x:c r="F77" s="128"/>
      <x:c r="G77" s="134"/>
      <x:c r="H77" s="128"/>
      <x:c r="I77" s="128"/>
      <x:c r="J77" s="134"/>
      <x:c r="K77" s="128"/>
      <x:c r="L77" s="128"/>
      <x:c r="M77" s="134"/>
      <x:c r="N77" s="128"/>
      <x:c r="O77" s="128"/>
      <x:c r="P77" s="134"/>
      <x:c r="Q77" s="128" t="n">
        <x:f>'기존안 과목내역'!I81</x:f>
        <x:v>3</x:v>
      </x:c>
      <x:c r="R77" s="128" t="n">
        <x:f>'기존안 과목내역'!J81</x:f>
        <x:v>7</x:v>
      </x:c>
      <x:c r="S77" s="134" t="n">
        <x:f>Q77*R77</x:f>
        <x:v>21</x:v>
      </x:c>
      <x:c r="T77" s="128"/>
      <x:c r="U77" s="128"/>
      <x:c r="V77" s="137"/>
      <x:c r="W77" s="78"/>
      <x:c r="X77" s="78"/>
      <x:c r="Y77" s="78"/>
      <x:c r="Z77" s="78"/>
      <x:c r="AA77" s="78"/>
      <x:c r="AB77" s="78"/>
      <x:c r="AC77" s="78"/>
      <x:c r="AD77" s="78"/>
      <x:c r="AE77" s="78"/>
    </x:row>
    <x:row r="78" ht="24" customHeight="1">
      <x:c r="A78" s="78"/>
      <x:c r="B78" s="103"/>
      <x:c r="C78" s="104" t="str">
        <x:v>자체</x:v>
      </x:c>
      <x:c r="D78" s="81" t="str">
        <x:v>화학 반응의 세계</x:v>
      </x:c>
      <x:c r="E78" s="127"/>
      <x:c r="F78" s="128"/>
      <x:c r="G78" s="134"/>
      <x:c r="H78" s="128"/>
      <x:c r="I78" s="128"/>
      <x:c r="J78" s="134"/>
      <x:c r="K78" s="128"/>
      <x:c r="L78" s="128"/>
      <x:c r="M78" s="134"/>
      <x:c r="N78" s="128" t="n">
        <x:f>'기존안 과목내역'!I99</x:f>
        <x:v>3</x:v>
      </x:c>
      <x:c r="O78" s="128" t="n">
        <x:f>'기존안 과목내역'!J99</x:f>
        <x:v>5</x:v>
      </x:c>
      <x:c r="P78" s="134" t="n">
        <x:f>N78*O78</x:f>
        <x:v>15</x:v>
      </x:c>
      <x:c r="Q78" s="128" t="n">
        <x:f>'기존안 과목내역'!I85</x:f>
        <x:v>3</x:v>
      </x:c>
      <x:c r="R78" s="128" t="n">
        <x:f>'기존안 과목내역'!J85</x:f>
        <x:v>8</x:v>
      </x:c>
      <x:c r="S78" s="134" t="n">
        <x:f>Q78*R78</x:f>
        <x:v>24</x:v>
      </x:c>
      <x:c r="T78" s="128"/>
      <x:c r="U78" s="128"/>
      <x:c r="V78" s="137"/>
      <x:c r="W78" s="78"/>
      <x:c r="X78" s="78"/>
      <x:c r="Y78" s="78"/>
      <x:c r="Z78" s="78"/>
      <x:c r="AA78" s="78"/>
      <x:c r="AB78" s="78"/>
      <x:c r="AC78" s="78"/>
      <x:c r="AD78" s="78"/>
      <x:c r="AE78" s="78"/>
    </x:row>
    <x:row r="79" ht="24" customHeight="1">
      <x:c r="A79" s="78"/>
      <x:c r="B79" s="103"/>
      <x:c r="C79" s="105" t="str">
        <x:v>통합</x:v>
      </x:c>
      <x:c r="D79" s="101" t="str">
        <x:v>통합과학1</x:v>
      </x:c>
      <x:c r="E79" s="127" t="n">
        <x:f>'기존안 과목내역'!I64</x:f>
        <x:v>4</x:v>
      </x:c>
      <x:c r="F79" s="128" t="n">
        <x:f>'공통융합 배정'!K48</x:f>
        <x:v>0</x:v>
      </x:c>
      <x:c r="G79" s="134" t="n">
        <x:f>'공통융합 배정'!L48</x:f>
        <x:v>0</x:v>
      </x:c>
      <x:c r="H79" s="128"/>
      <x:c r="I79" s="128"/>
      <x:c r="J79" s="134"/>
      <x:c r="K79" s="128"/>
      <x:c r="L79" s="128"/>
      <x:c r="M79" s="134"/>
      <x:c r="N79" s="128"/>
      <x:c r="O79" s="128"/>
      <x:c r="P79" s="134"/>
      <x:c r="Q79" s="128"/>
      <x:c r="R79" s="128"/>
      <x:c r="S79" s="134"/>
      <x:c r="T79" s="128"/>
      <x:c r="U79" s="128"/>
      <x:c r="V79" s="137"/>
      <x:c r="W79" s="78"/>
      <x:c r="X79" s="78"/>
      <x:c r="Y79" s="78"/>
      <x:c r="Z79" s="78"/>
      <x:c r="AA79" s="78"/>
      <x:c r="AB79" s="78"/>
      <x:c r="AC79" s="78"/>
      <x:c r="AD79" s="78"/>
      <x:c r="AE79" s="78"/>
    </x:row>
    <x:row r="80" ht="24" customHeight="1">
      <x:c r="A80" s="78"/>
      <x:c r="B80" s="103"/>
      <x:c r="C80" s="105" t="str">
        <x:v>실험</x:v>
      </x:c>
      <x:c r="D80" s="101" t="str">
        <x:v>과학탐구실험1</x:v>
      </x:c>
      <x:c r="E80" s="127" t="n">
        <x:f>'기존안 과목내역'!I65</x:f>
        <x:v>1</x:v>
      </x:c>
      <x:c r="F80" s="128" t="n">
        <x:f>'공통융합 배정'!K49</x:f>
        <x:v>0</x:v>
      </x:c>
      <x:c r="G80" s="134" t="n">
        <x:f>'공통융합 배정'!L49</x:f>
        <x:v>0</x:v>
      </x:c>
      <x:c r="H80" s="128"/>
      <x:c r="I80" s="128"/>
      <x:c r="J80" s="134"/>
      <x:c r="K80" s="128"/>
      <x:c r="L80" s="128"/>
      <x:c r="M80" s="134"/>
      <x:c r="N80" s="128"/>
      <x:c r="O80" s="128"/>
      <x:c r="P80" s="134"/>
      <x:c r="Q80" s="128"/>
      <x:c r="R80" s="128"/>
      <x:c r="S80" s="134"/>
      <x:c r="T80" s="128"/>
      <x:c r="U80" s="128"/>
      <x:c r="V80" s="137"/>
      <x:c r="W80" s="78"/>
      <x:c r="X80" s="78"/>
      <x:c r="Y80" s="78"/>
      <x:c r="Z80" s="78"/>
      <x:c r="AA80" s="78"/>
      <x:c r="AB80" s="78"/>
      <x:c r="AC80" s="78"/>
      <x:c r="AD80" s="78"/>
      <x:c r="AE80" s="78"/>
    </x:row>
    <x:row r="81" ht="24" customHeight="1">
      <x:c r="A81" s="78"/>
      <x:c r="B81" s="103"/>
      <x:c r="C81" s="105" t="str">
        <x:v>통합</x:v>
      </x:c>
      <x:c r="D81" s="101" t="str">
        <x:v>통합과학2</x:v>
      </x:c>
      <x:c r="E81" s="127"/>
      <x:c r="F81" s="128"/>
      <x:c r="G81" s="134"/>
      <x:c r="H81" s="128" t="n">
        <x:f>'기존안 과목내역'!I88</x:f>
        <x:v>4</x:v>
      </x:c>
      <x:c r="I81" s="128" t="n">
        <x:f>'공통융합 배정'!K50</x:f>
        <x:v>6</x:v>
      </x:c>
      <x:c r="J81" s="134" t="n">
        <x:f>'공통융합 배정'!L50</x:f>
        <x:v>24</x:v>
      </x:c>
      <x:c r="K81" s="128"/>
      <x:c r="L81" s="128"/>
      <x:c r="M81" s="134"/>
      <x:c r="N81" s="128"/>
      <x:c r="O81" s="128"/>
      <x:c r="P81" s="134"/>
      <x:c r="Q81" s="128"/>
      <x:c r="R81" s="128"/>
      <x:c r="S81" s="134"/>
      <x:c r="T81" s="128"/>
      <x:c r="U81" s="128"/>
      <x:c r="V81" s="137"/>
      <x:c r="W81" s="78"/>
      <x:c r="X81" s="78"/>
      <x:c r="Y81" s="78"/>
      <x:c r="Z81" s="78"/>
      <x:c r="AA81" s="78"/>
      <x:c r="AB81" s="78"/>
      <x:c r="AC81" s="78"/>
      <x:c r="AD81" s="78"/>
      <x:c r="AE81" s="78"/>
    </x:row>
    <x:row r="82" ht="24" customHeight="1">
      <x:c r="A82" s="78"/>
      <x:c r="B82" s="103"/>
      <x:c r="C82" s="105" t="str">
        <x:v>실험</x:v>
      </x:c>
      <x:c r="D82" s="101" t="str">
        <x:v>과학탐구실험2</x:v>
      </x:c>
      <x:c r="E82" s="127"/>
      <x:c r="F82" s="128"/>
      <x:c r="G82" s="134"/>
      <x:c r="H82" s="128" t="n">
        <x:f>'기존안 과목내역'!I89</x:f>
        <x:v>1</x:v>
      </x:c>
      <x:c r="I82" s="128" t="n">
        <x:f>'공통융합 배정'!K51</x:f>
        <x:v>4</x:v>
      </x:c>
      <x:c r="J82" s="134" t="n">
        <x:f>'공통융합 배정'!L51</x:f>
        <x:v>4</x:v>
      </x:c>
      <x:c r="K82" s="128"/>
      <x:c r="L82" s="128"/>
      <x:c r="M82" s="134"/>
      <x:c r="N82" s="128"/>
      <x:c r="O82" s="128"/>
      <x:c r="P82" s="134"/>
      <x:c r="Q82" s="128"/>
      <x:c r="R82" s="128"/>
      <x:c r="S82" s="134"/>
      <x:c r="T82" s="128"/>
      <x:c r="U82" s="128"/>
      <x:c r="V82" s="137"/>
      <x:c r="W82" s="78"/>
      <x:c r="X82" s="78"/>
      <x:c r="Y82" s="78"/>
      <x:c r="Z82" s="78"/>
      <x:c r="AA82" s="78"/>
      <x:c r="AB82" s="78"/>
      <x:c r="AC82" s="78"/>
      <x:c r="AD82" s="78"/>
      <x:c r="AE82" s="78"/>
    </x:row>
    <x:row r="83" ht="24" customHeight="1">
      <x:c r="A83" s="78"/>
      <x:c r="B83" s="103"/>
      <x:c r="C83" s="105" t="str">
        <x:v>융합</x:v>
      </x:c>
      <x:c r="D83" s="101" t="str">
        <x:v>과학의 역사와 문화</x:v>
      </x:c>
      <x:c r="E83" s="127"/>
      <x:c r="F83" s="128"/>
      <x:c r="G83" s="134"/>
      <x:c r="H83" s="128"/>
      <x:c r="I83" s="128"/>
      <x:c r="J83" s="134"/>
      <x:c r="K83" s="128"/>
      <x:c r="L83" s="128"/>
      <x:c r="M83" s="134"/>
      <x:c r="N83" s="128"/>
      <x:c r="O83" s="128"/>
      <x:c r="P83" s="134"/>
      <x:c r="Q83" s="128"/>
      <x:c r="R83" s="128"/>
      <x:c r="S83" s="134"/>
      <x:c r="T83" s="128" t="n">
        <x:f>'기존안 과목내역'!I103</x:f>
        <x:v>3</x:v>
      </x:c>
      <x:c r="U83" s="128" t="n">
        <x:f>'공통융합 배정'!K52</x:f>
        <x:v>3</x:v>
      </x:c>
      <x:c r="V83" s="137" t="n">
        <x:f>'공통융합 배정'!L52</x:f>
        <x:v>9</x:v>
      </x:c>
      <x:c r="W83" s="78"/>
      <x:c r="X83" s="78"/>
      <x:c r="Y83" s="78"/>
      <x:c r="Z83" s="78"/>
      <x:c r="AA83" s="78"/>
      <x:c r="AB83" s="78"/>
      <x:c r="AC83" s="78"/>
      <x:c r="AD83" s="78"/>
      <x:c r="AE83" s="78"/>
    </x:row>
    <x:row r="84" ht="24" customHeight="1">
      <x:c r="A84" s="78"/>
      <x:c r="B84" s="103"/>
      <x:c r="C84" s="105" t="str">
        <x:v>융합</x:v>
      </x:c>
      <x:c r="D84" s="101" t="str">
        <x:v>기후변화와 환경생태</x:v>
      </x:c>
      <x:c r="E84" s="127"/>
      <x:c r="F84" s="128"/>
      <x:c r="G84" s="134"/>
      <x:c r="H84" s="128"/>
      <x:c r="I84" s="128"/>
      <x:c r="J84" s="134"/>
      <x:c r="K84" s="128"/>
      <x:c r="L84" s="128"/>
      <x:c r="M84" s="134"/>
      <x:c r="N84" s="128"/>
      <x:c r="O84" s="128"/>
      <x:c r="P84" s="134"/>
      <x:c r="Q84" s="128"/>
      <x:c r="R84" s="128"/>
      <x:c r="S84" s="134"/>
      <x:c r="T84" s="128" t="n">
        <x:f>'기존안 과목내역'!I104</x:f>
        <x:v>3</x:v>
      </x:c>
      <x:c r="U84" s="128" t="n">
        <x:f>'공통융합 배정'!K53</x:f>
        <x:v>0</x:v>
      </x:c>
      <x:c r="V84" s="137" t="n">
        <x:f>'공통융합 배정'!L53</x:f>
        <x:v>0</x:v>
      </x:c>
      <x:c r="W84" s="78"/>
      <x:c r="X84" s="78"/>
      <x:c r="Y84" s="78"/>
      <x:c r="Z84" s="78"/>
      <x:c r="AA84" s="78"/>
      <x:c r="AB84" s="78"/>
      <x:c r="AC84" s="78"/>
      <x:c r="AD84" s="78"/>
      <x:c r="AE84" s="78"/>
    </x:row>
    <x:row r="85" ht="24" customHeight="1">
      <x:c r="A85" s="78"/>
      <x:c r="B85" s="103"/>
      <x:c r="C85" s="105" t="str">
        <x:v>융합</x:v>
      </x:c>
      <x:c r="D85" s="101" t="str">
        <x:v>융합과학 탐구</x:v>
      </x:c>
      <x:c r="E85" s="130"/>
      <x:c r="F85" s="131"/>
      <x:c r="G85" s="135"/>
      <x:c r="H85" s="131"/>
      <x:c r="I85" s="131"/>
      <x:c r="J85" s="135"/>
      <x:c r="K85" s="131"/>
      <x:c r="L85" s="131"/>
      <x:c r="M85" s="135"/>
      <x:c r="N85" s="131"/>
      <x:c r="O85" s="131"/>
      <x:c r="P85" s="135"/>
      <x:c r="Q85" s="131"/>
      <x:c r="R85" s="131"/>
      <x:c r="S85" s="135"/>
      <x:c r="T85" s="131" t="n">
        <x:f>'기존안 과목내역'!I105</x:f>
        <x:v>3</x:v>
      </x:c>
      <x:c r="U85" s="131" t="n">
        <x:f>'공통융합 배정'!K54</x:f>
        <x:v>2</x:v>
      </x:c>
      <x:c r="V85" s="138" t="n">
        <x:f>'공통융합 배정'!L54</x:f>
        <x:v>6</x:v>
      </x:c>
      <x:c r="W85" s="78"/>
      <x:c r="X85" s="78"/>
      <x:c r="Y85" s="78"/>
      <x:c r="Z85" s="78"/>
      <x:c r="AA85" s="78"/>
      <x:c r="AB85" s="78"/>
      <x:c r="AC85" s="78"/>
      <x:c r="AD85" s="78"/>
      <x:c r="AE85" s="78"/>
    </x:row>
    <x:row r="86" ht="30" customHeight="1">
      <x:c r="A86" s="78"/>
      <x:c r="B86" s="141" t="str">
        <x:v>생명과학 합계</x:v>
      </x:c>
      <x:c r="C86" s="141"/>
      <x:c r="D86" s="141"/>
      <x:c r="E86" s="141"/>
      <x:c r="F86" s="141"/>
      <x:c r="G86" s="141" t="n">
        <x:f>SUM(G90,G91)</x:f>
        <x:v>15</x:v>
      </x:c>
      <x:c r="H86" s="141"/>
      <x:c r="I86" s="141"/>
      <x:c r="J86" s="141" t="n">
        <x:f>SUM(J92,J93)</x:f>
        <x:v>7</x:v>
      </x:c>
      <x:c r="K86" s="141"/>
      <x:c r="L86" s="141"/>
      <x:c r="M86" s="141" t="n">
        <x:f>SUM(M87)</x:f>
        <x:v>15</x:v>
      </x:c>
      <x:c r="N86" s="141"/>
      <x:c r="O86" s="141"/>
      <x:c r="P86" s="141" t="n">
        <x:f>SUM(P89)</x:f>
        <x:v>12</x:v>
      </x:c>
      <x:c r="Q86" s="141"/>
      <x:c r="R86" s="141"/>
      <x:c r="S86" s="141" t="n">
        <x:f>SUM(S88)</x:f>
        <x:v>15</x:v>
      </x:c>
      <x:c r="T86" s="141"/>
      <x:c r="U86" s="141"/>
      <x:c r="V86" s="141" t="n">
        <x:f>SUM(V94,V95,V96)</x:f>
        <x:v>39</x:v>
      </x:c>
      <x:c r="W86" s="141" t="n">
        <x:f>IF(ISNUMBER('산정근거'!C16),'산정근거'!C16,"미정")</x:f>
        <x:v>3</x:v>
      </x:c>
      <x:c r="X86" s="143" t="n">
        <x:f>SUM(M87,S88)</x:f>
        <x:v>30</x:v>
      </x:c>
      <x:c r="Y86" s="143" t="n">
        <x:f>SUM(G90,G91)</x:f>
        <x:v>15</x:v>
      </x:c>
      <x:c r="Z86" s="143" t="n">
        <x:f>X86+Y86</x:f>
        <x:v>45</x:v>
      </x:c>
      <x:c r="AA86" s="144" t="n">
        <x:f>IF(OR(NOT(ISNUMBER(W86)),W86&lt;=0),"미정",Z86/W86)</x:f>
        <x:v>15</x:v>
      </x:c>
      <x:c r="AB86" s="143" t="n">
        <x:f>SUM(P89)</x:f>
        <x:v>12</x:v>
      </x:c>
      <x:c r="AC86" s="143" t="n">
        <x:f>SUM(J92,J93,V94,V95,V96)</x:f>
        <x:v>46</x:v>
      </x:c>
      <x:c r="AD86" s="143" t="n">
        <x:f>AB86+AC86</x:f>
        <x:v>58</x:v>
      </x:c>
      <x:c r="AE86" s="144" t="n">
        <x:f>IF(OR(NOT(ISNUMBER(W86)),W86&lt;=0),"미정",AD86/W86)</x:f>
        <x:v>19.333333333333332</x:v>
      </x:c>
    </x:row>
    <x:row r="87" ht="24" customHeight="1">
      <x:c r="A87" s="78"/>
      <x:c r="B87" s="103" t="str">
        <x:v>생물</x:v>
      </x:c>
      <x:c r="C87" s="104" t="str">
        <x:v>자체</x:v>
      </x:c>
      <x:c r="D87" s="81" t="str">
        <x:v>생명과학</x:v>
      </x:c>
      <x:c r="E87" s="124"/>
      <x:c r="F87" s="125"/>
      <x:c r="G87" s="133"/>
      <x:c r="H87" s="125"/>
      <x:c r="I87" s="125"/>
      <x:c r="J87" s="133"/>
      <x:c r="K87" s="125" t="n">
        <x:f>'기존안 과목내역'!I71</x:f>
        <x:v>3</x:v>
      </x:c>
      <x:c r="L87" s="125" t="n">
        <x:f>'기존안 과목내역'!J71</x:f>
        <x:v>5</x:v>
      </x:c>
      <x:c r="M87" s="133" t="n">
        <x:f>K87*L87</x:f>
        <x:v>15</x:v>
      </x:c>
      <x:c r="N87" s="125"/>
      <x:c r="O87" s="125"/>
      <x:c r="P87" s="133"/>
      <x:c r="Q87" s="125"/>
      <x:c r="R87" s="125"/>
      <x:c r="S87" s="133"/>
      <x:c r="T87" s="125"/>
      <x:c r="U87" s="125"/>
      <x:c r="V87" s="136"/>
      <x:c r="W87" s="78"/>
      <x:c r="X87" s="78"/>
      <x:c r="Y87" s="78"/>
      <x:c r="Z87" s="78"/>
      <x:c r="AA87" s="78"/>
      <x:c r="AB87" s="78"/>
      <x:c r="AC87" s="78"/>
      <x:c r="AD87" s="78"/>
      <x:c r="AE87" s="78"/>
    </x:row>
    <x:row r="88" ht="24" customHeight="1">
      <x:c r="A88" s="78"/>
      <x:c r="B88" s="103"/>
      <x:c r="C88" s="104" t="str">
        <x:v>자체</x:v>
      </x:c>
      <x:c r="D88" s="81" t="str">
        <x:v>세포와 물질대사</x:v>
      </x:c>
      <x:c r="E88" s="127"/>
      <x:c r="F88" s="128"/>
      <x:c r="G88" s="134"/>
      <x:c r="H88" s="128"/>
      <x:c r="I88" s="128"/>
      <x:c r="J88" s="134"/>
      <x:c r="K88" s="128"/>
      <x:c r="L88" s="128"/>
      <x:c r="M88" s="134"/>
      <x:c r="N88" s="128"/>
      <x:c r="O88" s="128"/>
      <x:c r="P88" s="134"/>
      <x:c r="Q88" s="128" t="n">
        <x:f>'기존안 과목내역'!I82</x:f>
        <x:v>3</x:v>
      </x:c>
      <x:c r="R88" s="128" t="n">
        <x:f>'기존안 과목내역'!J82</x:f>
        <x:v>5</x:v>
      </x:c>
      <x:c r="S88" s="134" t="n">
        <x:f>Q88*R88</x:f>
        <x:v>15</x:v>
      </x:c>
      <x:c r="T88" s="128"/>
      <x:c r="U88" s="128"/>
      <x:c r="V88" s="137"/>
      <x:c r="W88" s="78"/>
      <x:c r="X88" s="78"/>
      <x:c r="Y88" s="78"/>
      <x:c r="Z88" s="78"/>
      <x:c r="AA88" s="78"/>
      <x:c r="AB88" s="78"/>
      <x:c r="AC88" s="78"/>
      <x:c r="AD88" s="78"/>
      <x:c r="AE88" s="78"/>
    </x:row>
    <x:row r="89" ht="24" customHeight="1">
      <x:c r="A89" s="78"/>
      <x:c r="B89" s="103"/>
      <x:c r="C89" s="104" t="str">
        <x:v>자체</x:v>
      </x:c>
      <x:c r="D89" s="81" t="str">
        <x:v>생물의 유전</x:v>
      </x:c>
      <x:c r="E89" s="127"/>
      <x:c r="F89" s="128"/>
      <x:c r="G89" s="134"/>
      <x:c r="H89" s="128"/>
      <x:c r="I89" s="128"/>
      <x:c r="J89" s="134"/>
      <x:c r="K89" s="128"/>
      <x:c r="L89" s="128"/>
      <x:c r="M89" s="134"/>
      <x:c r="N89" s="128" t="n">
        <x:f>'기존안 과목내역'!I96</x:f>
        <x:v>3</x:v>
      </x:c>
      <x:c r="O89" s="128" t="n">
        <x:f>'기존안 과목내역'!J96</x:f>
        <x:v>4</x:v>
      </x:c>
      <x:c r="P89" s="134" t="n">
        <x:f>N89*O89</x:f>
        <x:v>12</x:v>
      </x:c>
      <x:c r="Q89" s="128"/>
      <x:c r="R89" s="128"/>
      <x:c r="S89" s="134"/>
      <x:c r="T89" s="128"/>
      <x:c r="U89" s="128"/>
      <x:c r="V89" s="137"/>
      <x:c r="W89" s="78"/>
      <x:c r="X89" s="78"/>
      <x:c r="Y89" s="78"/>
      <x:c r="Z89" s="78"/>
      <x:c r="AA89" s="78"/>
      <x:c r="AB89" s="78"/>
      <x:c r="AC89" s="78"/>
      <x:c r="AD89" s="78"/>
      <x:c r="AE89" s="78"/>
    </x:row>
    <x:row r="90" ht="24" customHeight="1">
      <x:c r="A90" s="78"/>
      <x:c r="B90" s="103"/>
      <x:c r="C90" s="105" t="str">
        <x:v>통합</x:v>
      </x:c>
      <x:c r="D90" s="101" t="str">
        <x:v>통합과학1</x:v>
      </x:c>
      <x:c r="E90" s="127" t="n">
        <x:f>'기존안 과목내역'!I64</x:f>
        <x:v>4</x:v>
      </x:c>
      <x:c r="F90" s="128" t="n">
        <x:f>'공통융합 배정'!M48</x:f>
        <x:v>3</x:v>
      </x:c>
      <x:c r="G90" s="134" t="n">
        <x:f>'공통융합 배정'!N48</x:f>
        <x:v>12</x:v>
      </x:c>
      <x:c r="H90" s="128"/>
      <x:c r="I90" s="128"/>
      <x:c r="J90" s="134"/>
      <x:c r="K90" s="128"/>
      <x:c r="L90" s="128"/>
      <x:c r="M90" s="134"/>
      <x:c r="N90" s="128"/>
      <x:c r="O90" s="128"/>
      <x:c r="P90" s="134"/>
      <x:c r="Q90" s="128"/>
      <x:c r="R90" s="128"/>
      <x:c r="S90" s="134"/>
      <x:c r="T90" s="128"/>
      <x:c r="U90" s="128"/>
      <x:c r="V90" s="137"/>
      <x:c r="W90" s="78"/>
      <x:c r="X90" s="78"/>
      <x:c r="Y90" s="78"/>
      <x:c r="Z90" s="78"/>
      <x:c r="AA90" s="78"/>
      <x:c r="AB90" s="78"/>
      <x:c r="AC90" s="78"/>
      <x:c r="AD90" s="78"/>
      <x:c r="AE90" s="78"/>
    </x:row>
    <x:row r="91" ht="24" customHeight="1">
      <x:c r="A91" s="78"/>
      <x:c r="B91" s="103"/>
      <x:c r="C91" s="105" t="str">
        <x:v>실험</x:v>
      </x:c>
      <x:c r="D91" s="101" t="str">
        <x:v>과학탐구실험1</x:v>
      </x:c>
      <x:c r="E91" s="127" t="n">
        <x:f>'기존안 과목내역'!I65</x:f>
        <x:v>1</x:v>
      </x:c>
      <x:c r="F91" s="128" t="n">
        <x:f>'공통융합 배정'!M49</x:f>
        <x:v>3</x:v>
      </x:c>
      <x:c r="G91" s="134" t="n">
        <x:f>'공통융합 배정'!N49</x:f>
        <x:v>3</x:v>
      </x:c>
      <x:c r="H91" s="128"/>
      <x:c r="I91" s="128"/>
      <x:c r="J91" s="134"/>
      <x:c r="K91" s="128"/>
      <x:c r="L91" s="128"/>
      <x:c r="M91" s="134"/>
      <x:c r="N91" s="128"/>
      <x:c r="O91" s="128"/>
      <x:c r="P91" s="134"/>
      <x:c r="Q91" s="128"/>
      <x:c r="R91" s="128"/>
      <x:c r="S91" s="134"/>
      <x:c r="T91" s="128"/>
      <x:c r="U91" s="128"/>
      <x:c r="V91" s="137"/>
      <x:c r="W91" s="78"/>
      <x:c r="X91" s="78"/>
      <x:c r="Y91" s="78"/>
      <x:c r="Z91" s="78"/>
      <x:c r="AA91" s="78"/>
      <x:c r="AB91" s="78"/>
      <x:c r="AC91" s="78"/>
      <x:c r="AD91" s="78"/>
      <x:c r="AE91" s="78"/>
    </x:row>
    <x:row r="92" ht="24" customHeight="1">
      <x:c r="A92" s="78"/>
      <x:c r="B92" s="103"/>
      <x:c r="C92" s="105" t="str">
        <x:v>통합</x:v>
      </x:c>
      <x:c r="D92" s="101" t="str">
        <x:v>통합과학2</x:v>
      </x:c>
      <x:c r="E92" s="127"/>
      <x:c r="F92" s="128"/>
      <x:c r="G92" s="134"/>
      <x:c r="H92" s="128" t="n">
        <x:f>'기존안 과목내역'!I88</x:f>
        <x:v>4</x:v>
      </x:c>
      <x:c r="I92" s="128" t="n">
        <x:f>'공통융합 배정'!M50</x:f>
        <x:v>1</x:v>
      </x:c>
      <x:c r="J92" s="134" t="n">
        <x:f>'공통융합 배정'!N50</x:f>
        <x:v>4</x:v>
      </x:c>
      <x:c r="K92" s="128"/>
      <x:c r="L92" s="128"/>
      <x:c r="M92" s="134"/>
      <x:c r="N92" s="128"/>
      <x:c r="O92" s="128"/>
      <x:c r="P92" s="134"/>
      <x:c r="Q92" s="128"/>
      <x:c r="R92" s="128"/>
      <x:c r="S92" s="134"/>
      <x:c r="T92" s="128"/>
      <x:c r="U92" s="128"/>
      <x:c r="V92" s="137"/>
      <x:c r="W92" s="78"/>
      <x:c r="X92" s="78"/>
      <x:c r="Y92" s="78"/>
      <x:c r="Z92" s="78"/>
      <x:c r="AA92" s="78"/>
      <x:c r="AB92" s="78"/>
      <x:c r="AC92" s="78"/>
      <x:c r="AD92" s="78"/>
      <x:c r="AE92" s="78"/>
    </x:row>
    <x:row r="93" ht="24" customHeight="1">
      <x:c r="A93" s="78"/>
      <x:c r="B93" s="103"/>
      <x:c r="C93" s="105" t="str">
        <x:v>실험</x:v>
      </x:c>
      <x:c r="D93" s="101" t="str">
        <x:v>과학탐구실험2</x:v>
      </x:c>
      <x:c r="E93" s="127"/>
      <x:c r="F93" s="128"/>
      <x:c r="G93" s="134"/>
      <x:c r="H93" s="128" t="n">
        <x:f>'기존안 과목내역'!I89</x:f>
        <x:v>1</x:v>
      </x:c>
      <x:c r="I93" s="128" t="n">
        <x:f>'공통융합 배정'!M51</x:f>
        <x:v>3</x:v>
      </x:c>
      <x:c r="J93" s="134" t="n">
        <x:f>'공통융합 배정'!N51</x:f>
        <x:v>3</x:v>
      </x:c>
      <x:c r="K93" s="128"/>
      <x:c r="L93" s="128"/>
      <x:c r="M93" s="134"/>
      <x:c r="N93" s="128"/>
      <x:c r="O93" s="128"/>
      <x:c r="P93" s="134"/>
      <x:c r="Q93" s="128"/>
      <x:c r="R93" s="128"/>
      <x:c r="S93" s="134"/>
      <x:c r="T93" s="128"/>
      <x:c r="U93" s="128"/>
      <x:c r="V93" s="137"/>
      <x:c r="W93" s="78"/>
      <x:c r="X93" s="78"/>
      <x:c r="Y93" s="78"/>
      <x:c r="Z93" s="78"/>
      <x:c r="AA93" s="78"/>
      <x:c r="AB93" s="78"/>
      <x:c r="AC93" s="78"/>
      <x:c r="AD93" s="78"/>
      <x:c r="AE93" s="78"/>
    </x:row>
    <x:row r="94" ht="24" customHeight="1">
      <x:c r="A94" s="78"/>
      <x:c r="B94" s="103"/>
      <x:c r="C94" s="105" t="str">
        <x:v>융합</x:v>
      </x:c>
      <x:c r="D94" s="101" t="str">
        <x:v>과학의 역사와 문화</x:v>
      </x:c>
      <x:c r="E94" s="127"/>
      <x:c r="F94" s="128"/>
      <x:c r="G94" s="134"/>
      <x:c r="H94" s="128"/>
      <x:c r="I94" s="128"/>
      <x:c r="J94" s="134"/>
      <x:c r="K94" s="128"/>
      <x:c r="L94" s="128"/>
      <x:c r="M94" s="134"/>
      <x:c r="N94" s="128"/>
      <x:c r="O94" s="128"/>
      <x:c r="P94" s="134"/>
      <x:c r="Q94" s="128"/>
      <x:c r="R94" s="128"/>
      <x:c r="S94" s="134"/>
      <x:c r="T94" s="128" t="n">
        <x:f>'기존안 과목내역'!I103</x:f>
        <x:v>3</x:v>
      </x:c>
      <x:c r="U94" s="128" t="n">
        <x:f>'공통융합 배정'!M52</x:f>
        <x:v>3</x:v>
      </x:c>
      <x:c r="V94" s="137" t="n">
        <x:f>'공통융합 배정'!N52</x:f>
        <x:v>9</x:v>
      </x:c>
      <x:c r="W94" s="78"/>
      <x:c r="X94" s="78"/>
      <x:c r="Y94" s="78"/>
      <x:c r="Z94" s="78"/>
      <x:c r="AA94" s="78"/>
      <x:c r="AB94" s="78"/>
      <x:c r="AC94" s="78"/>
      <x:c r="AD94" s="78"/>
      <x:c r="AE94" s="78"/>
    </x:row>
    <x:row r="95" ht="24" customHeight="1">
      <x:c r="A95" s="78"/>
      <x:c r="B95" s="103"/>
      <x:c r="C95" s="105" t="str">
        <x:v>융합</x:v>
      </x:c>
      <x:c r="D95" s="101" t="str">
        <x:v>기후변화와 환경생태</x:v>
      </x:c>
      <x:c r="E95" s="127"/>
      <x:c r="F95" s="128"/>
      <x:c r="G95" s="134"/>
      <x:c r="H95" s="128"/>
      <x:c r="I95" s="128"/>
      <x:c r="J95" s="134"/>
      <x:c r="K95" s="128"/>
      <x:c r="L95" s="128"/>
      <x:c r="M95" s="134"/>
      <x:c r="N95" s="128"/>
      <x:c r="O95" s="128"/>
      <x:c r="P95" s="134"/>
      <x:c r="Q95" s="128"/>
      <x:c r="R95" s="128"/>
      <x:c r="S95" s="134"/>
      <x:c r="T95" s="128" t="n">
        <x:f>'기존안 과목내역'!I104</x:f>
        <x:v>3</x:v>
      </x:c>
      <x:c r="U95" s="128" t="n">
        <x:f>'공통융합 배정'!M53</x:f>
        <x:v>7</x:v>
      </x:c>
      <x:c r="V95" s="137" t="n">
        <x:f>'공통융합 배정'!N53</x:f>
        <x:v>21</x:v>
      </x:c>
      <x:c r="W95" s="78"/>
      <x:c r="X95" s="78"/>
      <x:c r="Y95" s="78"/>
      <x:c r="Z95" s="78"/>
      <x:c r="AA95" s="78"/>
      <x:c r="AB95" s="78"/>
      <x:c r="AC95" s="78"/>
      <x:c r="AD95" s="78"/>
      <x:c r="AE95" s="78"/>
    </x:row>
    <x:row r="96" ht="24" customHeight="1">
      <x:c r="A96" s="78"/>
      <x:c r="B96" s="103"/>
      <x:c r="C96" s="105" t="str">
        <x:v>융합</x:v>
      </x:c>
      <x:c r="D96" s="101" t="str">
        <x:v>융합과학 탐구</x:v>
      </x:c>
      <x:c r="E96" s="130"/>
      <x:c r="F96" s="131"/>
      <x:c r="G96" s="135"/>
      <x:c r="H96" s="131"/>
      <x:c r="I96" s="131"/>
      <x:c r="J96" s="135"/>
      <x:c r="K96" s="131"/>
      <x:c r="L96" s="131"/>
      <x:c r="M96" s="135"/>
      <x:c r="N96" s="131"/>
      <x:c r="O96" s="131"/>
      <x:c r="P96" s="135"/>
      <x:c r="Q96" s="131"/>
      <x:c r="R96" s="131"/>
      <x:c r="S96" s="135"/>
      <x:c r="T96" s="131" t="n">
        <x:f>'기존안 과목내역'!I105</x:f>
        <x:v>3</x:v>
      </x:c>
      <x:c r="U96" s="131" t="n">
        <x:f>'공통융합 배정'!M54</x:f>
        <x:v>3</x:v>
      </x:c>
      <x:c r="V96" s="138" t="n">
        <x:f>'공통융합 배정'!N54</x:f>
        <x:v>9</x:v>
      </x:c>
      <x:c r="W96" s="78"/>
      <x:c r="X96" s="78"/>
      <x:c r="Y96" s="78"/>
      <x:c r="Z96" s="78"/>
      <x:c r="AA96" s="78"/>
      <x:c r="AB96" s="78"/>
      <x:c r="AC96" s="78"/>
      <x:c r="AD96" s="78"/>
      <x:c r="AE96" s="78"/>
    </x:row>
    <x:row r="97" ht="30" customHeight="1">
      <x:c r="A97" s="78"/>
      <x:c r="B97" s="141" t="str">
        <x:v>지구과학 합계</x:v>
      </x:c>
      <x:c r="C97" s="141"/>
      <x:c r="D97" s="141"/>
      <x:c r="E97" s="141"/>
      <x:c r="F97" s="141"/>
      <x:c r="G97" s="141" t="n">
        <x:f>SUM(G101,G102)</x:f>
        <x:v>33</x:v>
      </x:c>
      <x:c r="H97" s="141"/>
      <x:c r="I97" s="141"/>
      <x:c r="J97" s="141" t="n">
        <x:f>SUM(J103,J104)</x:f>
        <x:v>7</x:v>
      </x:c>
      <x:c r="K97" s="141"/>
      <x:c r="L97" s="141"/>
      <x:c r="M97" s="141" t="n">
        <x:f>SUM(M98)</x:f>
        <x:v>12</x:v>
      </x:c>
      <x:c r="N97" s="141"/>
      <x:c r="O97" s="141"/>
      <x:c r="P97" s="141" t="n">
        <x:f>SUM(P98,P100)</x:f>
        <x:v>15</x:v>
      </x:c>
      <x:c r="Q97" s="141"/>
      <x:c r="R97" s="141"/>
      <x:c r="S97" s="141" t="n">
        <x:f>SUM(S99)</x:f>
        <x:v>0</x:v>
      </x:c>
      <x:c r="T97" s="141"/>
      <x:c r="U97" s="141"/>
      <x:c r="V97" s="141" t="n">
        <x:f>SUM(V105,V106,V107)</x:f>
        <x:v>36</x:v>
      </x:c>
      <x:c r="W97" s="141" t="n">
        <x:f>IF(ISNUMBER('산정근거'!C17),'산정근거'!C17,"미정")</x:f>
        <x:v>3</x:v>
      </x:c>
      <x:c r="X97" s="143" t="n">
        <x:f>SUM(M98,S99)</x:f>
        <x:v>12</x:v>
      </x:c>
      <x:c r="Y97" s="143" t="n">
        <x:f>SUM(G101,G102)</x:f>
        <x:v>33</x:v>
      </x:c>
      <x:c r="Z97" s="143" t="n">
        <x:f>X97+Y97</x:f>
        <x:v>45</x:v>
      </x:c>
      <x:c r="AA97" s="144" t="n">
        <x:f>IF(OR(NOT(ISNUMBER(W97)),W97&lt;=0),"미정",Z97/W97)</x:f>
        <x:v>15</x:v>
      </x:c>
      <x:c r="AB97" s="143" t="n">
        <x:f>SUM(P98,P100)</x:f>
        <x:v>15</x:v>
      </x:c>
      <x:c r="AC97" s="143" t="n">
        <x:f>SUM(J103,J104,V105,V106,V107)</x:f>
        <x:v>43</x:v>
      </x:c>
      <x:c r="AD97" s="143" t="n">
        <x:f>AB97+AC97</x:f>
        <x:v>58</x:v>
      </x:c>
      <x:c r="AE97" s="144" t="n">
        <x:f>IF(OR(NOT(ISNUMBER(W97)),W97&lt;=0),"미정",AD97/W97)</x:f>
        <x:v>19.333333333333332</x:v>
      </x:c>
    </x:row>
    <x:row r="98" ht="24" customHeight="1">
      <x:c r="A98" s="78"/>
      <x:c r="B98" s="103" t="str">
        <x:v>지구과학</x:v>
      </x:c>
      <x:c r="C98" s="104" t="str">
        <x:v>자체</x:v>
      </x:c>
      <x:c r="D98" s="81" t="str">
        <x:v>지구과학</x:v>
      </x:c>
      <x:c r="E98" s="124"/>
      <x:c r="F98" s="125"/>
      <x:c r="G98" s="133"/>
      <x:c r="H98" s="125"/>
      <x:c r="I98" s="125"/>
      <x:c r="J98" s="133"/>
      <x:c r="K98" s="125" t="n">
        <x:f>'기존안 과목내역'!I72</x:f>
        <x:v>3</x:v>
      </x:c>
      <x:c r="L98" s="125" t="n">
        <x:f>'기존안 과목내역'!J72</x:f>
        <x:v>4</x:v>
      </x:c>
      <x:c r="M98" s="133" t="n">
        <x:f>K98*L98</x:f>
        <x:v>12</x:v>
      </x:c>
      <x:c r="N98" s="125" t="n">
        <x:f>'기존안 과목내역'!I95</x:f>
        <x:v>3</x:v>
      </x:c>
      <x:c r="O98" s="125" t="n">
        <x:f>'기존안 과목내역'!J95</x:f>
        <x:v>4</x:v>
      </x:c>
      <x:c r="P98" s="133" t="n">
        <x:f>N98*O98</x:f>
        <x:v>12</x:v>
      </x:c>
      <x:c r="Q98" s="125"/>
      <x:c r="R98" s="125"/>
      <x:c r="S98" s="133"/>
      <x:c r="T98" s="125"/>
      <x:c r="U98" s="125"/>
      <x:c r="V98" s="136"/>
      <x:c r="W98" s="78"/>
      <x:c r="X98" s="78"/>
      <x:c r="Y98" s="78"/>
      <x:c r="Z98" s="78"/>
      <x:c r="AA98" s="78"/>
      <x:c r="AB98" s="78"/>
      <x:c r="AC98" s="78"/>
      <x:c r="AD98" s="78"/>
      <x:c r="AE98" s="78"/>
    </x:row>
    <x:row r="99" ht="24" customHeight="1">
      <x:c r="A99" s="78"/>
      <x:c r="B99" s="103"/>
      <x:c r="C99" s="104" t="str">
        <x:v>자체</x:v>
      </x:c>
      <x:c r="D99" s="81" t="str">
        <x:v>지구시스템과학</x:v>
      </x:c>
      <x:c r="E99" s="127"/>
      <x:c r="F99" s="128"/>
      <x:c r="G99" s="134"/>
      <x:c r="H99" s="128"/>
      <x:c r="I99" s="128"/>
      <x:c r="J99" s="134"/>
      <x:c r="K99" s="128"/>
      <x:c r="L99" s="128"/>
      <x:c r="M99" s="134"/>
      <x:c r="N99" s="128"/>
      <x:c r="O99" s="128"/>
      <x:c r="P99" s="134"/>
      <x:c r="Q99" s="128" t="n">
        <x:f>'기존안 과목내역'!I84</x:f>
        <x:v>3</x:v>
      </x:c>
      <x:c r="R99" s="128" t="n">
        <x:f>'기존안 과목내역'!J84</x:f>
        <x:v>0</x:v>
      </x:c>
      <x:c r="S99" s="134" t="n">
        <x:f>Q99*R99</x:f>
        <x:v>0</x:v>
      </x:c>
      <x:c r="T99" s="128"/>
      <x:c r="U99" s="128"/>
      <x:c r="V99" s="137"/>
      <x:c r="W99" s="78"/>
      <x:c r="X99" s="78"/>
      <x:c r="Y99" s="78"/>
      <x:c r="Z99" s="78"/>
      <x:c r="AA99" s="78"/>
      <x:c r="AB99" s="78"/>
      <x:c r="AC99" s="78"/>
      <x:c r="AD99" s="78"/>
      <x:c r="AE99" s="78"/>
    </x:row>
    <x:row r="100" ht="24" customHeight="1">
      <x:c r="A100" s="78"/>
      <x:c r="B100" s="103"/>
      <x:c r="C100" s="104" t="str">
        <x:v>자체</x:v>
      </x:c>
      <x:c r="D100" s="81" t="str">
        <x:v>행성우주과학</x:v>
      </x:c>
      <x:c r="E100" s="127"/>
      <x:c r="F100" s="128"/>
      <x:c r="G100" s="134"/>
      <x:c r="H100" s="128"/>
      <x:c r="I100" s="128"/>
      <x:c r="J100" s="134"/>
      <x:c r="K100" s="128"/>
      <x:c r="L100" s="128"/>
      <x:c r="M100" s="134"/>
      <x:c r="N100" s="128" t="n">
        <x:f>'기존안 과목내역'!I98</x:f>
        <x:v>3</x:v>
      </x:c>
      <x:c r="O100" s="128" t="n">
        <x:f>'기존안 과목내역'!J98</x:f>
        <x:v>1</x:v>
      </x:c>
      <x:c r="P100" s="134" t="n">
        <x:f>N100*O100</x:f>
        <x:v>3</x:v>
      </x:c>
      <x:c r="Q100" s="128"/>
      <x:c r="R100" s="128"/>
      <x:c r="S100" s="134"/>
      <x:c r="T100" s="128"/>
      <x:c r="U100" s="128"/>
      <x:c r="V100" s="137"/>
      <x:c r="W100" s="78"/>
      <x:c r="X100" s="78"/>
      <x:c r="Y100" s="78"/>
      <x:c r="Z100" s="78"/>
      <x:c r="AA100" s="78"/>
      <x:c r="AB100" s="78"/>
      <x:c r="AC100" s="78"/>
      <x:c r="AD100" s="78"/>
      <x:c r="AE100" s="78"/>
    </x:row>
    <x:row r="101" ht="24" customHeight="1">
      <x:c r="A101" s="78"/>
      <x:c r="B101" s="103"/>
      <x:c r="C101" s="105" t="str">
        <x:v>통합</x:v>
      </x:c>
      <x:c r="D101" s="101" t="str">
        <x:v>통합과학1</x:v>
      </x:c>
      <x:c r="E101" s="127" t="n">
        <x:f>'기존안 과목내역'!I64</x:f>
        <x:v>4</x:v>
      </x:c>
      <x:c r="F101" s="128" t="n">
        <x:f>'공통융합 배정'!O48</x:f>
        <x:v>7</x:v>
      </x:c>
      <x:c r="G101" s="134" t="n">
        <x:f>'공통융합 배정'!P48</x:f>
        <x:v>28</x:v>
      </x:c>
      <x:c r="H101" s="128"/>
      <x:c r="I101" s="128"/>
      <x:c r="J101" s="134"/>
      <x:c r="K101" s="128"/>
      <x:c r="L101" s="128"/>
      <x:c r="M101" s="134"/>
      <x:c r="N101" s="128"/>
      <x:c r="O101" s="128"/>
      <x:c r="P101" s="134"/>
      <x:c r="Q101" s="128"/>
      <x:c r="R101" s="128"/>
      <x:c r="S101" s="134"/>
      <x:c r="T101" s="128"/>
      <x:c r="U101" s="128"/>
      <x:c r="V101" s="137"/>
      <x:c r="W101" s="78"/>
      <x:c r="X101" s="78"/>
      <x:c r="Y101" s="78"/>
      <x:c r="Z101" s="78"/>
      <x:c r="AA101" s="78"/>
      <x:c r="AB101" s="78"/>
      <x:c r="AC101" s="78"/>
      <x:c r="AD101" s="78"/>
      <x:c r="AE101" s="78"/>
    </x:row>
    <x:row r="102" ht="24" customHeight="1">
      <x:c r="A102" s="78"/>
      <x:c r="B102" s="103"/>
      <x:c r="C102" s="105" t="str">
        <x:v>실험</x:v>
      </x:c>
      <x:c r="D102" s="101" t="str">
        <x:v>과학탐구실험1</x:v>
      </x:c>
      <x:c r="E102" s="127" t="n">
        <x:f>'기존안 과목내역'!I65</x:f>
        <x:v>1</x:v>
      </x:c>
      <x:c r="F102" s="128" t="n">
        <x:f>'공통융합 배정'!O49</x:f>
        <x:v>5</x:v>
      </x:c>
      <x:c r="G102" s="134" t="n">
        <x:f>'공통융합 배정'!P49</x:f>
        <x:v>5</x:v>
      </x:c>
      <x:c r="H102" s="128"/>
      <x:c r="I102" s="128"/>
      <x:c r="J102" s="134"/>
      <x:c r="K102" s="128"/>
      <x:c r="L102" s="128"/>
      <x:c r="M102" s="134"/>
      <x:c r="N102" s="128"/>
      <x:c r="O102" s="128"/>
      <x:c r="P102" s="134"/>
      <x:c r="Q102" s="128"/>
      <x:c r="R102" s="128"/>
      <x:c r="S102" s="134"/>
      <x:c r="T102" s="128"/>
      <x:c r="U102" s="128"/>
      <x:c r="V102" s="137"/>
      <x:c r="W102" s="78"/>
      <x:c r="X102" s="78"/>
      <x:c r="Y102" s="78"/>
      <x:c r="Z102" s="78"/>
      <x:c r="AA102" s="78"/>
      <x:c r="AB102" s="78"/>
      <x:c r="AC102" s="78"/>
      <x:c r="AD102" s="78"/>
      <x:c r="AE102" s="78"/>
    </x:row>
    <x:row r="103" ht="24" customHeight="1">
      <x:c r="A103" s="78"/>
      <x:c r="B103" s="103"/>
      <x:c r="C103" s="105" t="str">
        <x:v>통합</x:v>
      </x:c>
      <x:c r="D103" s="101" t="str">
        <x:v>통합과학2</x:v>
      </x:c>
      <x:c r="E103" s="127"/>
      <x:c r="F103" s="128"/>
      <x:c r="G103" s="134"/>
      <x:c r="H103" s="128" t="n">
        <x:f>'기존안 과목내역'!I88</x:f>
        <x:v>4</x:v>
      </x:c>
      <x:c r="I103" s="128" t="n">
        <x:f>'공통융합 배정'!O50</x:f>
        <x:v>1</x:v>
      </x:c>
      <x:c r="J103" s="134" t="n">
        <x:f>'공통융합 배정'!P50</x:f>
        <x:v>4</x:v>
      </x:c>
      <x:c r="K103" s="128"/>
      <x:c r="L103" s="128"/>
      <x:c r="M103" s="134"/>
      <x:c r="N103" s="128"/>
      <x:c r="O103" s="128"/>
      <x:c r="P103" s="134"/>
      <x:c r="Q103" s="128"/>
      <x:c r="R103" s="128"/>
      <x:c r="S103" s="134"/>
      <x:c r="T103" s="128"/>
      <x:c r="U103" s="128"/>
      <x:c r="V103" s="137"/>
      <x:c r="W103" s="78"/>
      <x:c r="X103" s="78"/>
      <x:c r="Y103" s="78"/>
      <x:c r="Z103" s="78"/>
      <x:c r="AA103" s="78"/>
      <x:c r="AB103" s="78"/>
      <x:c r="AC103" s="78"/>
      <x:c r="AD103" s="78"/>
      <x:c r="AE103" s="78"/>
    </x:row>
    <x:row r="104" ht="24" customHeight="1">
      <x:c r="A104" s="78"/>
      <x:c r="B104" s="103"/>
      <x:c r="C104" s="105" t="str">
        <x:v>실험</x:v>
      </x:c>
      <x:c r="D104" s="101" t="str">
        <x:v>과학탐구실험2</x:v>
      </x:c>
      <x:c r="E104" s="127"/>
      <x:c r="F104" s="128"/>
      <x:c r="G104" s="134"/>
      <x:c r="H104" s="128" t="n">
        <x:f>'기존안 과목내역'!I89</x:f>
        <x:v>1</x:v>
      </x:c>
      <x:c r="I104" s="128" t="n">
        <x:f>'공통융합 배정'!O51</x:f>
        <x:v>3</x:v>
      </x:c>
      <x:c r="J104" s="134" t="n">
        <x:f>'공통융합 배정'!P51</x:f>
        <x:v>3</x:v>
      </x:c>
      <x:c r="K104" s="128"/>
      <x:c r="L104" s="128"/>
      <x:c r="M104" s="134"/>
      <x:c r="N104" s="128"/>
      <x:c r="O104" s="128"/>
      <x:c r="P104" s="134"/>
      <x:c r="Q104" s="128"/>
      <x:c r="R104" s="128"/>
      <x:c r="S104" s="134"/>
      <x:c r="T104" s="128"/>
      <x:c r="U104" s="128"/>
      <x:c r="V104" s="137"/>
      <x:c r="W104" s="78"/>
      <x:c r="X104" s="78"/>
      <x:c r="Y104" s="78"/>
      <x:c r="Z104" s="78"/>
      <x:c r="AA104" s="78"/>
      <x:c r="AB104" s="78"/>
      <x:c r="AC104" s="78"/>
      <x:c r="AD104" s="78"/>
      <x:c r="AE104" s="78"/>
    </x:row>
    <x:row r="105" ht="24" customHeight="1">
      <x:c r="A105" s="78"/>
      <x:c r="B105" s="103"/>
      <x:c r="C105" s="105" t="str">
        <x:v>융합</x:v>
      </x:c>
      <x:c r="D105" s="101" t="str">
        <x:v>과학의 역사와 문화</x:v>
      </x:c>
      <x:c r="E105" s="127"/>
      <x:c r="F105" s="128"/>
      <x:c r="G105" s="134"/>
      <x:c r="H105" s="128"/>
      <x:c r="I105" s="128"/>
      <x:c r="J105" s="134"/>
      <x:c r="K105" s="128"/>
      <x:c r="L105" s="128"/>
      <x:c r="M105" s="134"/>
      <x:c r="N105" s="128"/>
      <x:c r="O105" s="128"/>
      <x:c r="P105" s="134"/>
      <x:c r="Q105" s="128"/>
      <x:c r="R105" s="128"/>
      <x:c r="S105" s="134"/>
      <x:c r="T105" s="128" t="n">
        <x:f>'기존안 과목내역'!I103</x:f>
        <x:v>3</x:v>
      </x:c>
      <x:c r="U105" s="128" t="n">
        <x:f>'공통융합 배정'!O52</x:f>
        <x:v>3</x:v>
      </x:c>
      <x:c r="V105" s="137" t="n">
        <x:f>'공통융합 배정'!P52</x:f>
        <x:v>9</x:v>
      </x:c>
      <x:c r="W105" s="78"/>
      <x:c r="X105" s="78"/>
      <x:c r="Y105" s="78"/>
      <x:c r="Z105" s="78"/>
      <x:c r="AA105" s="78"/>
      <x:c r="AB105" s="78"/>
      <x:c r="AC105" s="78"/>
      <x:c r="AD105" s="78"/>
      <x:c r="AE105" s="78"/>
    </x:row>
    <x:row r="106" ht="24" customHeight="1">
      <x:c r="A106" s="78"/>
      <x:c r="B106" s="103"/>
      <x:c r="C106" s="105" t="str">
        <x:v>융합</x:v>
      </x:c>
      <x:c r="D106" s="101" t="str">
        <x:v>기후변화와 환경생태</x:v>
      </x:c>
      <x:c r="E106" s="127"/>
      <x:c r="F106" s="128"/>
      <x:c r="G106" s="134"/>
      <x:c r="H106" s="128"/>
      <x:c r="I106" s="128"/>
      <x:c r="J106" s="134"/>
      <x:c r="K106" s="128"/>
      <x:c r="L106" s="128"/>
      <x:c r="M106" s="134"/>
      <x:c r="N106" s="128"/>
      <x:c r="O106" s="128"/>
      <x:c r="P106" s="134"/>
      <x:c r="Q106" s="128"/>
      <x:c r="R106" s="128"/>
      <x:c r="S106" s="134"/>
      <x:c r="T106" s="128" t="n">
        <x:f>'기존안 과목내역'!I104</x:f>
        <x:v>3</x:v>
      </x:c>
      <x:c r="U106" s="128" t="n">
        <x:f>'공통융합 배정'!O53</x:f>
        <x:v>6</x:v>
      </x:c>
      <x:c r="V106" s="137" t="n">
        <x:f>'공통융합 배정'!P53</x:f>
        <x:v>18</x:v>
      </x:c>
      <x:c r="W106" s="78"/>
      <x:c r="X106" s="78"/>
      <x:c r="Y106" s="78"/>
      <x:c r="Z106" s="78"/>
      <x:c r="AA106" s="78"/>
      <x:c r="AB106" s="78"/>
      <x:c r="AC106" s="78"/>
      <x:c r="AD106" s="78"/>
      <x:c r="AE106" s="78"/>
    </x:row>
    <x:row r="107" ht="24" customHeight="1">
      <x:c r="A107" s="78"/>
      <x:c r="B107" s="103"/>
      <x:c r="C107" s="105" t="str">
        <x:v>융합</x:v>
      </x:c>
      <x:c r="D107" s="101" t="str">
        <x:v>융합과학 탐구</x:v>
      </x:c>
      <x:c r="E107" s="130"/>
      <x:c r="F107" s="131"/>
      <x:c r="G107" s="135"/>
      <x:c r="H107" s="131"/>
      <x:c r="I107" s="131"/>
      <x:c r="J107" s="135"/>
      <x:c r="K107" s="131"/>
      <x:c r="L107" s="131"/>
      <x:c r="M107" s="135"/>
      <x:c r="N107" s="131"/>
      <x:c r="O107" s="131"/>
      <x:c r="P107" s="135"/>
      <x:c r="Q107" s="131"/>
      <x:c r="R107" s="131"/>
      <x:c r="S107" s="135"/>
      <x:c r="T107" s="131" t="n">
        <x:f>'기존안 과목내역'!I105</x:f>
        <x:v>3</x:v>
      </x:c>
      <x:c r="U107" s="131" t="n">
        <x:f>'공통융합 배정'!O54</x:f>
        <x:v>3</x:v>
      </x:c>
      <x:c r="V107" s="138" t="n">
        <x:f>'공통융합 배정'!P54</x:f>
        <x:v>9</x:v>
      </x:c>
      <x:c r="W107" s="78"/>
      <x:c r="X107" s="78"/>
      <x:c r="Y107" s="78"/>
      <x:c r="Z107" s="78"/>
      <x:c r="AA107" s="78"/>
      <x:c r="AB107" s="78"/>
      <x:c r="AC107" s="78"/>
      <x:c r="AD107" s="78"/>
      <x:c r="AE107" s="78"/>
    </x:row>
    <x:row r="108" ht="30" customHeight="1">
      <x:c r="A108" s="78"/>
      <x:c r="B108" s="145" t="str">
        <x:v>사회 전체</x:v>
      </x:c>
      <x:c r="C108" s="145"/>
      <x:c r="D108" s="145"/>
      <x:c r="E108" s="145"/>
      <x:c r="F108" s="145"/>
      <x:c r="G108" s="145" t="n">
        <x:f>SUM(G13,G26,G40,G52)</x:f>
        <x:v>84</x:v>
      </x:c>
      <x:c r="H108" s="145"/>
      <x:c r="I108" s="145"/>
      <x:c r="J108" s="145" t="n">
        <x:f>SUM(J13,J26,J40,J52)</x:f>
        <x:v>84</x:v>
      </x:c>
      <x:c r="K108" s="145"/>
      <x:c r="L108" s="145"/>
      <x:c r="M108" s="145" t="n">
        <x:f>SUM(M13,M26,M40,M52)</x:f>
        <x:v>54</x:v>
      </x:c>
      <x:c r="N108" s="145"/>
      <x:c r="O108" s="145"/>
      <x:c r="P108" s="145" t="n">
        <x:f>SUM(P13,P26,P40,P52)</x:f>
        <x:v>54</x:v>
      </x:c>
      <x:c r="Q108" s="145"/>
      <x:c r="R108" s="145"/>
      <x:c r="S108" s="145" t="n">
        <x:f>SUM(S13,S26,S40,S52)</x:f>
        <x:v>78</x:v>
      </x:c>
      <x:c r="T108" s="145"/>
      <x:c r="U108" s="145"/>
      <x:c r="V108" s="145" t="n">
        <x:f>SUM(V13,V26,V40,V52)</x:f>
        <x:v>57</x:v>
      </x:c>
      <x:c r="W108" s="145" t="n">
        <x:f>IF(OR(COUNT(W13,W26,W40,W52)&lt;&gt;4,MIN(W13,W26,W40,W52)&lt;=0),"미정",SUM(W13,W26,W40,W52))</x:f>
        <x:v>12</x:v>
      </x:c>
      <x:c r="X108" s="145" t="n">
        <x:f>SUM(X13,X26,X40,X52)</x:f>
        <x:v>144</x:v>
      </x:c>
      <x:c r="Y108" s="145" t="n">
        <x:f>SUM(Y13,Y26,Y40,Y52)</x:f>
        <x:v>72</x:v>
      </x:c>
      <x:c r="Z108" s="145" t="n">
        <x:f>SUM(Z13,Z26,Z40,Z52)</x:f>
        <x:v>216</x:v>
      </x:c>
      <x:c r="AA108" s="146" t="n">
        <x:f>IF(OR(NOT(ISNUMBER(W108)),W108&lt;=0),"미정",Z108/W108)</x:f>
        <x:v>18</x:v>
      </x:c>
      <x:c r="AB108" s="145" t="n">
        <x:f>SUM(AB13,AB26,AB40,AB52)</x:f>
        <x:v>90</x:v>
      </x:c>
      <x:c r="AC108" s="145" t="n">
        <x:f>SUM(AC13,AC26,AC40,AC52)</x:f>
        <x:v>105</x:v>
      </x:c>
      <x:c r="AD108" s="145" t="n">
        <x:f>SUM(AD13,AD26,AD40,AD52)</x:f>
        <x:v>195</x:v>
      </x:c>
      <x:c r="AE108" s="146" t="n">
        <x:f>IF(OR(NOT(ISNUMBER(W108)),W108&lt;=0),"미정",AD108/W108)</x:f>
        <x:v>16.25</x:v>
      </x:c>
    </x:row>
    <x:row r="109" ht="30" customHeight="1">
      <x:c r="A109" s="78"/>
      <x:c r="B109" s="145" t="str">
        <x:v>과학 전체</x:v>
      </x:c>
      <x:c r="C109" s="145"/>
      <x:c r="D109" s="145"/>
      <x:c r="E109" s="145"/>
      <x:c r="F109" s="145"/>
      <x:c r="G109" s="145" t="n">
        <x:f>SUM(G64,G75,G86,G97)</x:f>
        <x:v>60</x:v>
      </x:c>
      <x:c r="H109" s="145"/>
      <x:c r="I109" s="145"/>
      <x:c r="J109" s="145" t="n">
        <x:f>SUM(J64,J75,J86,J97)</x:f>
        <x:v>60</x:v>
      </x:c>
      <x:c r="K109" s="145"/>
      <x:c r="L109" s="145"/>
      <x:c r="M109" s="145" t="n">
        <x:f>SUM(M64,M75,M86,M97)</x:f>
        <x:v>54</x:v>
      </x:c>
      <x:c r="N109" s="145"/>
      <x:c r="O109" s="145"/>
      <x:c r="P109" s="145" t="n">
        <x:f>SUM(P64,P75,P86,P97)</x:f>
        <x:v>54</x:v>
      </x:c>
      <x:c r="Q109" s="145"/>
      <x:c r="R109" s="145"/>
      <x:c r="S109" s="145" t="n">
        <x:f>SUM(S64,S75,S86,S97)</x:f>
        <x:v>66</x:v>
      </x:c>
      <x:c r="T109" s="145"/>
      <x:c r="U109" s="145"/>
      <x:c r="V109" s="145" t="n">
        <x:f>SUM(V64,V75,V86,V97)</x:f>
        <x:v>99</x:v>
      </x:c>
      <x:c r="W109" s="145" t="n">
        <x:f>IF(OR(COUNT(W64,W75,W86,W97)&lt;&gt;4,MIN(W64,W75,W86,W97)&lt;=0),"미정",SUM(W64,W75,W86,W97))</x:f>
        <x:v>11</x:v>
      </x:c>
      <x:c r="X109" s="145" t="n">
        <x:f>SUM(X64,X75,X86,X97)</x:f>
        <x:v>120</x:v>
      </x:c>
      <x:c r="Y109" s="145" t="n">
        <x:f>SUM(Y64,Y75,Y86,Y97)</x:f>
        <x:v>60</x:v>
      </x:c>
      <x:c r="Z109" s="145" t="n">
        <x:f>SUM(Z64,Z75,Z86,Z97)</x:f>
        <x:v>180</x:v>
      </x:c>
      <x:c r="AA109" s="146" t="n">
        <x:f>IF(OR(NOT(ISNUMBER(W109)),W109&lt;=0),"미정",Z109/W109)</x:f>
        <x:v>16.363636363636363</x:v>
      </x:c>
      <x:c r="AB109" s="145" t="n">
        <x:f>SUM(AB64,AB75,AB86,AB97)</x:f>
        <x:v>54</x:v>
      </x:c>
      <x:c r="AC109" s="145" t="n">
        <x:f>SUM(AC64,AC75,AC86,AC97)</x:f>
        <x:v>159</x:v>
      </x:c>
      <x:c r="AD109" s="145" t="n">
        <x:f>SUM(AD64,AD75,AD86,AD97)</x:f>
        <x:v>213</x:v>
      </x:c>
      <x:c r="AE109" s="146" t="n">
        <x:f>IF(OR(NOT(ISNUMBER(W109)),W109&lt;=0),"미정",AD109/W109)</x:f>
        <x:v>19.363636363636363</x:v>
      </x:c>
    </x:row>
    <x:row r="110" ht="24" customHeight="1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  <x:c r="AA110" s="78"/>
      <x:c r="AB110" s="78"/>
      <x:c r="AC110" s="78"/>
      <x:c r="AD110" s="78"/>
      <x:c r="AE110" s="78"/>
    </x:row>
    <x:row r="111" ht="24" customHeight="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  <x:c r="AA111" s="78"/>
      <x:c r="AB111" s="78"/>
      <x:c r="AC111" s="78"/>
      <x:c r="AD111" s="78"/>
      <x:c r="AE111" s="78"/>
    </x:row>
    <x:row r="112" ht="24" customHeight="1">
      <x:c r="A112" s="78"/>
      <x:c r="B112" s="80" t="str">
        <x:v>자체 시수에는 통합·실험·융합과목을 넣지 않았습니다. 해당 과목은 배정 시수로만 합산하여 중복을 없앴습니다.</x:v>
      </x:c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  <x:c r="AA112" s="78"/>
      <x:c r="AB112" s="78"/>
      <x:c r="AC112" s="78"/>
      <x:c r="AD112" s="78"/>
      <x:c r="AE112" s="78"/>
    </x:row>
    <x:row r="113" ht="24" customHeight="1">
      <x:c r="A113" s="78"/>
      <x:c r="B113" s="80" t="str">
        <x:v>교사 수는 산정근거, 배정 반 수는 공통융합 배정 시트에서 수정합니다. 평균은 총시수 ÷ 교사 수로 계산합니다.</x:v>
      </x:c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  <x:c r="AA113" s="78"/>
      <x:c r="AB113" s="78"/>
      <x:c r="AC113" s="78"/>
      <x:c r="AD113" s="78"/>
      <x:c r="AE113" s="78"/>
    </x:row>
    <x:row r="114" ht="24" customHeight="1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  <x:c r="AA114" s="78"/>
      <x:c r="AB114" s="78"/>
      <x:c r="AC114" s="78"/>
      <x:c r="AD114" s="78"/>
      <x:c r="AE114" s="78"/>
    </x:row>
    <x:row r="115" ht="24" customHeight="1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  <x:c r="AA115" s="78"/>
      <x:c r="AB115" s="78"/>
      <x:c r="AC115" s="78"/>
      <x:c r="AD115" s="78"/>
      <x:c r="AE115" s="78"/>
    </x:row>
    <x:row r="116" ht="24" customHeight="1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  <x:c r="AA116" s="78"/>
      <x:c r="AB116" s="78"/>
      <x:c r="AC116" s="78"/>
      <x:c r="AD116" s="78"/>
      <x:c r="AE116" s="78"/>
    </x:row>
    <x:row r="117" ht="24" customHeight="1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  <x:c r="AA117" s="78"/>
      <x:c r="AB117" s="78"/>
      <x:c r="AC117" s="78"/>
      <x:c r="AD117" s="78"/>
      <x:c r="AE117" s="78"/>
    </x:row>
    <x:row r="118" ht="24" customHeight="1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  <x:c r="AA118" s="78"/>
      <x:c r="AB118" s="78"/>
      <x:c r="AC118" s="78"/>
      <x:c r="AD118" s="78"/>
      <x:c r="AE118" s="78"/>
    </x:row>
    <x:row r="119" ht="24" customHeight="1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  <x:c r="AA119" s="78"/>
      <x:c r="AB119" s="78"/>
      <x:c r="AC119" s="78"/>
      <x:c r="AD119" s="78"/>
      <x:c r="AE119" s="78"/>
    </x:row>
    <x:row r="120" ht="24" customHeight="1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  <x:c r="AA120" s="78"/>
      <x:c r="AB120" s="78"/>
      <x:c r="AC120" s="78"/>
      <x:c r="AD120" s="78"/>
      <x:c r="AE120" s="78"/>
    </x:row>
    <x:row r="121" ht="24" customHeight="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  <x:c r="AA121" s="78"/>
      <x:c r="AB121" s="78"/>
      <x:c r="AC121" s="78"/>
      <x:c r="AD121" s="78"/>
      <x:c r="AE121" s="78"/>
    </x:row>
    <x:row r="122" ht="24" customHeight="1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  <x:c r="AA122" s="78"/>
      <x:c r="AB122" s="78"/>
      <x:c r="AC122" s="78"/>
      <x:c r="AD122" s="78"/>
      <x:c r="AE122" s="78"/>
    </x:row>
    <x:row r="123" ht="24" customHeight="1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  <x:c r="AA123" s="78"/>
      <x:c r="AB123" s="78"/>
      <x:c r="AC123" s="78"/>
      <x:c r="AD123" s="78"/>
      <x:c r="AE123" s="78"/>
    </x:row>
    <x:row r="124" ht="24" customHeight="1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  <x:c r="AA124" s="78"/>
      <x:c r="AB124" s="78"/>
      <x:c r="AC124" s="78"/>
      <x:c r="AD124" s="78"/>
      <x:c r="AE124" s="78"/>
    </x:row>
    <x:row r="125" ht="24" customHeight="1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  <x:c r="AA125" s="78"/>
      <x:c r="AB125" s="78"/>
      <x:c r="AC125" s="78"/>
      <x:c r="AD125" s="78"/>
      <x:c r="AE125" s="78"/>
    </x:row>
    <x:row r="126" ht="24" customHeight="1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  <x:c r="AA126" s="78"/>
      <x:c r="AB126" s="78"/>
      <x:c r="AC126" s="78"/>
      <x:c r="AD126" s="78"/>
      <x:c r="AE126" s="78"/>
    </x:row>
    <x:row r="127" ht="24" customHeight="1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  <x:c r="AA127" s="78"/>
      <x:c r="AB127" s="78"/>
      <x:c r="AC127" s="78"/>
      <x:c r="AD127" s="78"/>
      <x:c r="AE127" s="78"/>
    </x:row>
    <x:row r="128" ht="24" customHeight="1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  <x:c r="AA128" s="78"/>
      <x:c r="AB128" s="78"/>
      <x:c r="AC128" s="78"/>
      <x:c r="AD128" s="78"/>
      <x:c r="AE128" s="78"/>
    </x:row>
    <x:row r="129" ht="24" customHeight="1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  <x:c r="AA129" s="78"/>
      <x:c r="AB129" s="78"/>
      <x:c r="AC129" s="78"/>
      <x:c r="AD129" s="78"/>
      <x:c r="AE129" s="78"/>
    </x:row>
    <x:row r="130" ht="24" customHeight="1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  <x:c r="AA130" s="78"/>
      <x:c r="AB130" s="78"/>
      <x:c r="AC130" s="78"/>
      <x:c r="AD130" s="78"/>
      <x:c r="AE130" s="78"/>
    </x:row>
    <x:row r="131" ht="24" customHeight="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  <x:c r="AA131" s="78"/>
      <x:c r="AB131" s="78"/>
      <x:c r="AC131" s="78"/>
      <x:c r="AD131" s="78"/>
      <x:c r="AE131" s="78"/>
    </x:row>
    <x:row r="132" ht="24" customHeight="1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  <x:c r="AA132" s="78"/>
      <x:c r="AB132" s="78"/>
      <x:c r="AC132" s="78"/>
      <x:c r="AD132" s="78"/>
      <x:c r="AE132" s="78"/>
    </x:row>
    <x:row r="133" ht="24" customHeight="1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  <x:c r="AA133" s="78"/>
      <x:c r="AB133" s="78"/>
      <x:c r="AC133" s="78"/>
      <x:c r="AD133" s="78"/>
      <x:c r="AE133" s="78"/>
    </x:row>
    <x:row r="134" ht="24" customHeight="1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  <x:c r="AA134" s="78"/>
      <x:c r="AB134" s="78"/>
      <x:c r="AC134" s="78"/>
      <x:c r="AD134" s="78"/>
      <x:c r="AE134" s="78"/>
    </x:row>
    <x:row r="135" ht="24" customHeight="1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  <x:c r="AA135" s="78"/>
      <x:c r="AB135" s="78"/>
      <x:c r="AC135" s="78"/>
      <x:c r="AD135" s="78"/>
      <x:c r="AE135" s="78"/>
    </x:row>
    <x:row r="136" ht="24" customHeight="1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  <x:c r="AA136" s="78"/>
      <x:c r="AB136" s="78"/>
      <x:c r="AC136" s="78"/>
      <x:c r="AD136" s="78"/>
      <x:c r="AE136" s="78"/>
    </x:row>
    <x:row r="137" ht="24" customHeight="1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  <x:c r="AA137" s="78"/>
      <x:c r="AB137" s="78"/>
      <x:c r="AC137" s="78"/>
      <x:c r="AD137" s="78"/>
      <x:c r="AE137" s="78"/>
    </x:row>
    <x:row r="138" ht="24" customHeight="1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  <x:c r="AA138" s="78"/>
      <x:c r="AB138" s="78"/>
      <x:c r="AC138" s="78"/>
      <x:c r="AD138" s="78"/>
      <x:c r="AE138" s="78"/>
    </x:row>
    <x:row r="139" ht="24" customHeight="1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  <x:c r="AA139" s="78"/>
      <x:c r="AB139" s="78"/>
      <x:c r="AC139" s="78"/>
      <x:c r="AD139" s="78"/>
      <x:c r="AE139" s="78"/>
    </x:row>
    <x:row r="140" ht="24" customHeight="1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  <x:c r="AA140" s="78"/>
      <x:c r="AB140" s="78"/>
      <x:c r="AC140" s="78"/>
      <x:c r="AD140" s="78"/>
      <x:c r="AE140" s="78"/>
    </x:row>
  </x:sheetData>
  <x:mergeCells>
    <x:mergeCell ref="B9:D10"/>
    <x:mergeCell ref="B11:B12"/>
    <x:mergeCell ref="C11:C12"/>
    <x:mergeCell ref="D11:D12"/>
    <x:mergeCell ref="E9:J9"/>
    <x:mergeCell ref="E10:J10"/>
    <x:mergeCell ref="E11:G11"/>
    <x:mergeCell ref="H11:J11"/>
    <x:mergeCell ref="K9:P9"/>
    <x:mergeCell ref="K10:P10"/>
    <x:mergeCell ref="K11:M11"/>
    <x:mergeCell ref="N11:P11"/>
    <x:mergeCell ref="Q9:V9"/>
    <x:mergeCell ref="Q10:V10"/>
    <x:mergeCell ref="Q11:S11"/>
    <x:mergeCell ref="T11:V11"/>
    <x:mergeCell ref="W9:W12"/>
    <x:mergeCell ref="X9:AA10"/>
    <x:mergeCell ref="X11:X12"/>
    <x:mergeCell ref="Y11:Y12"/>
    <x:mergeCell ref="Z11:Z12"/>
    <x:mergeCell ref="AA11:AA12"/>
    <x:mergeCell ref="AB9:AE10"/>
    <x:mergeCell ref="AB11:AB12"/>
    <x:mergeCell ref="AC11:AC12"/>
    <x:mergeCell ref="AD11:AD12"/>
    <x:mergeCell ref="AE11:AE12"/>
    <x:mergeCell ref="B13:D13"/>
    <x:mergeCell ref="B26:D26"/>
    <x:mergeCell ref="B40:D40"/>
    <x:mergeCell ref="B52:D52"/>
    <x:mergeCell ref="B64:D64"/>
    <x:mergeCell ref="B75:D75"/>
    <x:mergeCell ref="B86:D86"/>
    <x:mergeCell ref="B97:D97"/>
    <x:mergeCell ref="B108:D108"/>
    <x:mergeCell ref="B109:D10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8949D"/>
  </x:sheetPr>
  <x:sheetViews>
    <x:sheetView showGridLines="0" workbookViewId="0" tabSelected="0">
      <x:pane xSplit="4" ySplit="12" topLeftCell="E13" activePane="bottomRight" state="frozen"/>
    </x:sheetView>
  </x:sheetViews>
  <x:sheetFormatPr defaultRowHeight="15"/>
  <x:cols>
    <x:col min="1" max="1" width="2.25" hidden="0" customWidth="1"/>
    <x:col min="2" max="2" width="9" hidden="0" customWidth="1"/>
    <x:col min="3" max="3" width="6" hidden="0" customWidth="1"/>
    <x:col min="4" max="4" width="28.1299991607666" hidden="0" customWidth="1"/>
    <x:col min="23" max="23" width="6" hidden="0" customWidth="1"/>
    <x:col min="24" max="24" width="8" hidden="0" customWidth="1"/>
    <x:col min="25" max="25" width="8" hidden="0" customWidth="1"/>
    <x:col min="26" max="26" width="8" hidden="0" customWidth="1"/>
    <x:col min="27" max="27" width="9.75" hidden="0" customWidth="1"/>
    <x:col min="28" max="28" width="8" hidden="0" customWidth="1"/>
    <x:col min="29" max="29" width="8" hidden="0" customWidth="1"/>
    <x:col min="30" max="30" width="8" hidden="0" customWidth="1"/>
    <x:col min="31" max="31" width="9.75" hidden="0" customWidth="1"/>
    <x:col min="5" max="5" width="5.380000114440918" hidden="0" customWidth="1"/>
    <x:col min="6" max="6" width="5.380000114440918" hidden="0" customWidth="1"/>
    <x:col min="7" max="7" width="6" hidden="0" customWidth="1"/>
    <x:col min="8" max="8" width="5.380000114440918" hidden="0" customWidth="1"/>
    <x:col min="9" max="9" width="5.380000114440918" hidden="0" customWidth="1"/>
    <x:col min="10" max="10" width="6" hidden="0" customWidth="1"/>
    <x:col min="11" max="11" width="5.380000114440918" hidden="0" customWidth="1"/>
    <x:col min="12" max="12" width="5.380000114440918" hidden="0" customWidth="1"/>
    <x:col min="13" max="13" width="6" hidden="0" customWidth="1"/>
    <x:col min="14" max="14" width="5.380000114440918" hidden="0" customWidth="1"/>
    <x:col min="15" max="15" width="5.380000114440918" hidden="0" customWidth="1"/>
    <x:col min="16" max="16" width="6" hidden="0" customWidth="1"/>
    <x:col min="17" max="17" width="5.380000114440918" hidden="0" customWidth="1"/>
    <x:col min="18" max="18" width="5.380000114440918" hidden="0" customWidth="1"/>
    <x:col min="19" max="19" width="6" hidden="0" customWidth="1"/>
    <x:col min="20" max="20" width="5.380000114440918" hidden="0" customWidth="1"/>
    <x:col min="21" max="21" width="5.380000114440918" hidden="0" customWidth="1"/>
    <x:col min="22" max="22" width="6" hidden="0" customWidth="1"/>
  </x:cols>
  <x:sheetData>
    <x:row r="1" ht="12" customHeight="1">
      <x:c r="A1" s="78"/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  <x:c r="AA1" s="78"/>
      <x:c r="AB1" s="78"/>
      <x:c r="AC1" s="78"/>
      <x:c r="AD1" s="78"/>
      <x:c r="AE1" s="78"/>
    </x:row>
    <x:row r="2" ht="34" customHeight="1">
      <x:c r="A2" s="78"/>
      <x:c r="B2" s="4" t="str">
        <x:v>2029학년도 사회·과학 주간수업 배당표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</x:row>
    <x:row r="3" ht="24" customHeight="1">
      <x:c r="A3" s="78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/>
      <x:c r="AB3" s="79"/>
      <x:c r="AC3" s="79"/>
      <x:c r="AD3" s="79"/>
      <x:c r="AE3" s="79"/>
    </x:row>
    <x:row r="4" ht="24" customHeight="1">
      <x:c r="A4" s="78"/>
      <x:c r="B4" s="80" t="str">
        <x:v>각 교과의 자체 과목과 배정받는 통합·실험·융합과목을 표시했습니다. 반 수 0은 해당 교과에 배정 또는 개설이 없는 경우입니다.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  <x:c r="AA4" s="78"/>
      <x:c r="AB4" s="78"/>
      <x:c r="AC4" s="78"/>
      <x:c r="AD4" s="78"/>
      <x:c r="AE4" s="78"/>
    </x:row>
    <x:row r="5" ht="24" customHeight="1">
      <x:c r="A5" s="78"/>
      <x:c r="B5" s="80" t="str">
        <x:v>빈칸은 해당 학년·학기에 편성하지 않은 과목입니다. 단위는 주당 시수이며 창체·교양은 제외했습니다.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</x:row>
    <x:row r="6" ht="24" customHeight="1">
      <x:c r="A6" s="78"/>
      <x:c r="B6" s="80" t="str">
        <x:v>2029년은 가정안입니다. 기존안은 아래 표, 변경안은 105행부터 확인합니다. 변경은 3학년 1학기에 적용합니다.</x:v>
      </x:c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  <x:c r="AA6" s="78"/>
      <x:c r="AB6" s="78"/>
      <x:c r="AC6" s="78"/>
      <x:c r="AD6" s="78"/>
      <x:c r="AE6" s="78"/>
    </x:row>
    <x:row r="7" ht="24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  <x:c r="AA7" s="78"/>
      <x:c r="AB7" s="78"/>
      <x:c r="AC7" s="78"/>
      <x:c r="AD7" s="78"/>
      <x:c r="AE7" s="78"/>
    </x:row>
    <x:row r="8" ht="28" customHeight="1">
      <x:c r="A8" s="78"/>
      <x:c r="B8" s="82" t="str">
        <x:v>2029학년도 기존안</x:v>
      </x:c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</x:row>
    <x:row r="9" ht="26" customHeight="1">
      <x:c r="A9" s="78"/>
      <x:c r="B9" s="98" t="str">
        <x:v>담당 교과와 개설 과목</x:v>
      </x:c>
      <x:c r="C9" s="98"/>
      <x:c r="D9" s="98"/>
      <x:c r="E9" s="98" t="str">
        <x:v>1학년 (2029 입학생)</x:v>
      </x:c>
      <x:c r="F9" s="98"/>
      <x:c r="G9" s="98"/>
      <x:c r="H9" s="98"/>
      <x:c r="I9" s="98"/>
      <x:c r="J9" s="98"/>
      <x:c r="K9" s="98" t="str">
        <x:v>2학년 (2028 입학생)</x:v>
      </x:c>
      <x:c r="L9" s="98"/>
      <x:c r="M9" s="98"/>
      <x:c r="N9" s="98"/>
      <x:c r="O9" s="98"/>
      <x:c r="P9" s="98"/>
      <x:c r="Q9" s="98" t="str">
        <x:v>3학년 (2027 입학생)</x:v>
      </x:c>
      <x:c r="R9" s="98"/>
      <x:c r="S9" s="98"/>
      <x:c r="T9" s="98"/>
      <x:c r="U9" s="98"/>
      <x:c r="V9" s="98"/>
      <x:c r="W9" s="98" t="str">
        <x:v>교사
수</x:v>
      </x:c>
      <x:c r="X9" s="98" t="str">
        <x:v>1학기 교과별 시수와 평균</x:v>
      </x:c>
      <x:c r="Y9" s="98"/>
      <x:c r="Z9" s="98"/>
      <x:c r="AA9" s="98"/>
      <x:c r="AB9" s="98" t="str">
        <x:v>2학기 교과별 시수와 평균</x:v>
      </x:c>
      <x:c r="AC9" s="98"/>
      <x:c r="AD9" s="98"/>
      <x:c r="AE9" s="98"/>
    </x:row>
    <x:row r="10" ht="26" customHeight="1">
      <x:c r="A10" s="78"/>
      <x:c r="B10" s="98"/>
      <x:c r="C10" s="98"/>
      <x:c r="D10" s="98"/>
      <x:c r="E10" s="99" t="n">
        <x:v>12</x:v>
      </x:c>
      <x:c r="F10" s="98"/>
      <x:c r="G10" s="98"/>
      <x:c r="H10" s="98"/>
      <x:c r="I10" s="98"/>
      <x:c r="J10" s="98"/>
      <x:c r="K10" s="99" t="n">
        <x:v>12</x:v>
      </x:c>
      <x:c r="L10" s="98"/>
      <x:c r="M10" s="98"/>
      <x:c r="N10" s="98"/>
      <x:c r="O10" s="98"/>
      <x:c r="P10" s="98"/>
      <x:c r="Q10" s="99" t="n">
        <x:v>12</x:v>
      </x:c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8"/>
      <x:c r="AE10" s="98"/>
    </x:row>
    <x:row r="11" ht="26" customHeight="1">
      <x:c r="A11" s="78"/>
      <x:c r="B11" s="98" t="str">
        <x:v>담당
교과</x:v>
      </x:c>
      <x:c r="C11" s="98" t="str">
        <x:v>구분</x:v>
      </x:c>
      <x:c r="D11" s="98" t="str">
        <x:v>과목명</x:v>
      </x:c>
      <x:c r="E11" s="98" t="str">
        <x:v>1학기</x:v>
      </x:c>
      <x:c r="F11" s="98"/>
      <x:c r="G11" s="98"/>
      <x:c r="H11" s="98" t="str">
        <x:v>2학기</x:v>
      </x:c>
      <x:c r="I11" s="98"/>
      <x:c r="J11" s="98"/>
      <x:c r="K11" s="98" t="str">
        <x:v>1학기</x:v>
      </x:c>
      <x:c r="L11" s="98"/>
      <x:c r="M11" s="98"/>
      <x:c r="N11" s="98" t="str">
        <x:v>2학기</x:v>
      </x:c>
      <x:c r="O11" s="98"/>
      <x:c r="P11" s="98"/>
      <x:c r="Q11" s="98" t="str">
        <x:v>1학기</x:v>
      </x:c>
      <x:c r="R11" s="98"/>
      <x:c r="S11" s="98"/>
      <x:c r="T11" s="98" t="str">
        <x:v>2학기</x:v>
      </x:c>
      <x:c r="U11" s="98"/>
      <x:c r="V11" s="98"/>
      <x:c r="W11" s="98"/>
      <x:c r="X11" s="98" t="str">
        <x:v>자체
시수</x:v>
      </x:c>
      <x:c r="Y11" s="98" t="str">
        <x:v>배정
시수</x:v>
      </x:c>
      <x:c r="Z11" s="98" t="str">
        <x:v>총시수</x:v>
      </x:c>
      <x:c r="AA11" s="98" t="str">
        <x:v>교사 1인
평균</x:v>
      </x:c>
      <x:c r="AB11" s="98" t="str">
        <x:v>자체
시수</x:v>
      </x:c>
      <x:c r="AC11" s="98" t="str">
        <x:v>배정
시수</x:v>
      </x:c>
      <x:c r="AD11" s="98" t="str">
        <x:v>총시수</x:v>
      </x:c>
      <x:c r="AE11" s="98" t="str">
        <x:v>교사 1인
평균</x:v>
      </x:c>
    </x:row>
    <x:row r="12" ht="26" customHeight="1">
      <x:c r="A12" s="78"/>
      <x:c r="B12" s="98"/>
      <x:c r="C12" s="98"/>
      <x:c r="D12" s="98"/>
      <x:c r="E12" s="98" t="str">
        <x:v>반당
시수</x:v>
      </x:c>
      <x:c r="F12" s="98" t="str">
        <x:v>개설
반 수</x:v>
      </x:c>
      <x:c r="G12" s="98" t="str">
        <x:v>교과
시수</x:v>
      </x:c>
      <x:c r="H12" s="98" t="str">
        <x:v>반당
시수</x:v>
      </x:c>
      <x:c r="I12" s="98" t="str">
        <x:v>개설
반 수</x:v>
      </x:c>
      <x:c r="J12" s="98" t="str">
        <x:v>교과
시수</x:v>
      </x:c>
      <x:c r="K12" s="98" t="str">
        <x:v>반당
시수</x:v>
      </x:c>
      <x:c r="L12" s="98" t="str">
        <x:v>개설
반 수</x:v>
      </x:c>
      <x:c r="M12" s="98" t="str">
        <x:v>교과
시수</x:v>
      </x:c>
      <x:c r="N12" s="98" t="str">
        <x:v>반당
시수</x:v>
      </x:c>
      <x:c r="O12" s="98" t="str">
        <x:v>개설
반 수</x:v>
      </x:c>
      <x:c r="P12" s="98" t="str">
        <x:v>교과
시수</x:v>
      </x:c>
      <x:c r="Q12" s="98" t="str">
        <x:v>반당
시수</x:v>
      </x:c>
      <x:c r="R12" s="98" t="str">
        <x:v>개설
반 수</x:v>
      </x:c>
      <x:c r="S12" s="98" t="str">
        <x:v>교과
시수</x:v>
      </x:c>
      <x:c r="T12" s="98" t="str">
        <x:v>반당
시수</x:v>
      </x:c>
      <x:c r="U12" s="98" t="str">
        <x:v>개설
반 수</x:v>
      </x:c>
      <x:c r="V12" s="98" t="str">
        <x:v>교과
시수</x:v>
      </x:c>
      <x:c r="W12" s="98"/>
      <x:c r="X12" s="98"/>
      <x:c r="Y12" s="98"/>
      <x:c r="Z12" s="98"/>
      <x:c r="AA12" s="98"/>
      <x:c r="AB12" s="98"/>
      <x:c r="AC12" s="98"/>
      <x:c r="AD12" s="98"/>
      <x:c r="AE12" s="98"/>
    </x:row>
    <x:row r="13" ht="30" customHeight="1">
      <x:c r="A13" s="78"/>
      <x:c r="B13" s="141" t="str">
        <x:v>역사 합계</x:v>
      </x:c>
      <x:c r="C13" s="141"/>
      <x:c r="D13" s="141"/>
      <x:c r="E13" s="141"/>
      <x:c r="F13" s="141"/>
      <x:c r="G13" s="141" t="n">
        <x:f>SUM(G14,G18)</x:f>
        <x:v>36</x:v>
      </x:c>
      <x:c r="H13" s="141"/>
      <x:c r="I13" s="141"/>
      <x:c r="J13" s="141" t="n">
        <x:f>SUM(J16,J20)</x:f>
        <x:v>44</x:v>
      </x:c>
      <x:c r="K13" s="141"/>
      <x:c r="L13" s="141"/>
      <x:c r="M13" s="141" t="n">
        <x:f>SUM(M15)</x:f>
        <x:v>9</x:v>
      </x:c>
      <x:c r="N13" s="141"/>
      <x:c r="O13" s="141"/>
      <x:c r="P13" s="141" t="n">
        <x:f>SUM(P17)</x:f>
        <x:v>6</x:v>
      </x:c>
      <x:c r="Q13" s="141"/>
      <x:c r="R13" s="141"/>
      <x:c r="S13" s="141" t="n">
        <x:f>SUM(S19)</x:f>
        <x:v>15</x:v>
      </x:c>
      <x:c r="T13" s="141"/>
      <x:c r="U13" s="141"/>
      <x:c r="V13" s="141" t="n">
        <x:f>SUM(V21,V22,V23)</x:f>
        <x:v>0</x:v>
      </x:c>
      <x:c r="W13" s="141" t="n">
        <x:f>IF(ISNUMBER('산정근거'!C12),'산정근거'!C12,"미정")</x:f>
        <x:v>3</x:v>
      </x:c>
      <x:c r="X13" s="143" t="n">
        <x:f>SUM(G14,M15)</x:f>
        <x:v>45</x:v>
      </x:c>
      <x:c r="Y13" s="143" t="n">
        <x:f>SUM(G18,S19)</x:f>
        <x:v>15</x:v>
      </x:c>
      <x:c r="Z13" s="143" t="n">
        <x:f>X13+Y13</x:f>
        <x:v>60</x:v>
      </x:c>
      <x:c r="AA13" s="144" t="n">
        <x:f>IF(OR(NOT(ISNUMBER(W13)),W13&lt;=0),"미정",Z13/W13)</x:f>
        <x:v>20</x:v>
      </x:c>
      <x:c r="AB13" s="143" t="n">
        <x:f>SUM(J16,P17)</x:f>
        <x:v>42</x:v>
      </x:c>
      <x:c r="AC13" s="143" t="n">
        <x:f>SUM(J20,V21,V22,V23)</x:f>
        <x:v>8</x:v>
      </x:c>
      <x:c r="AD13" s="143" t="n">
        <x:f>AB13+AC13</x:f>
        <x:v>50</x:v>
      </x:c>
      <x:c r="AE13" s="144" t="n">
        <x:f>IF(OR(NOT(ISNUMBER(W13)),W13&lt;=0),"미정",AD13/W13)</x:f>
        <x:v>16.666666666666668</x:v>
      </x:c>
    </x:row>
    <x:row r="14" ht="24" customHeight="1">
      <x:c r="A14" s="78"/>
      <x:c r="B14" s="103" t="str">
        <x:v>역사</x:v>
      </x:c>
      <x:c r="C14" s="104" t="str">
        <x:v>자체</x:v>
      </x:c>
      <x:c r="D14" s="81" t="str">
        <x:v>한국사1</x:v>
      </x:c>
      <x:c r="E14" s="124" t="n">
        <x:f>'기존안 과목내역'!I106</x:f>
        <x:v>3</x:v>
      </x:c>
      <x:c r="F14" s="125" t="n">
        <x:f>'기존안 과목내역'!J106</x:f>
        <x:v>12</x:v>
      </x:c>
      <x:c r="G14" s="133" t="n">
        <x:f>E14*F14</x:f>
        <x:v>36</x:v>
      </x:c>
      <x:c r="H14" s="125"/>
      <x:c r="I14" s="125"/>
      <x:c r="J14" s="133"/>
      <x:c r="K14" s="125"/>
      <x:c r="L14" s="125"/>
      <x:c r="M14" s="133"/>
      <x:c r="N14" s="125"/>
      <x:c r="O14" s="125"/>
      <x:c r="P14" s="133"/>
      <x:c r="Q14" s="125"/>
      <x:c r="R14" s="125"/>
      <x:c r="S14" s="133"/>
      <x:c r="T14" s="125"/>
      <x:c r="U14" s="125"/>
      <x:c r="V14" s="136"/>
      <x:c r="W14" s="78"/>
      <x:c r="X14" s="78"/>
      <x:c r="Y14" s="78"/>
      <x:c r="Z14" s="78"/>
      <x:c r="AA14" s="78"/>
      <x:c r="AB14" s="78"/>
      <x:c r="AC14" s="78"/>
      <x:c r="AD14" s="78"/>
      <x:c r="AE14" s="78"/>
    </x:row>
    <x:row r="15" ht="24" customHeight="1">
      <x:c r="A15" s="78"/>
      <x:c r="B15" s="103"/>
      <x:c r="C15" s="104" t="str">
        <x:v>자체</x:v>
      </x:c>
      <x:c r="D15" s="81" t="str">
        <x:v>세계사</x:v>
      </x:c>
      <x:c r="E15" s="127"/>
      <x:c r="F15" s="128"/>
      <x:c r="G15" s="134"/>
      <x:c r="H15" s="128"/>
      <x:c r="I15" s="128"/>
      <x:c r="J15" s="134"/>
      <x:c r="K15" s="128" t="n">
        <x:f>'기존안 과목내역'!I111</x:f>
        <x:v>3</x:v>
      </x:c>
      <x:c r="L15" s="128" t="n">
        <x:f>'기존안 과목내역'!J111</x:f>
        <x:v>3</x:v>
      </x:c>
      <x:c r="M15" s="134" t="n">
        <x:f>K15*L15</x:f>
        <x:v>9</x:v>
      </x:c>
      <x:c r="N15" s="128"/>
      <x:c r="O15" s="128"/>
      <x:c r="P15" s="134"/>
      <x:c r="Q15" s="128"/>
      <x:c r="R15" s="128"/>
      <x:c r="S15" s="134"/>
      <x:c r="T15" s="128"/>
      <x:c r="U15" s="128"/>
      <x:c r="V15" s="137"/>
      <x:c r="W15" s="78"/>
      <x:c r="X15" s="78"/>
      <x:c r="Y15" s="78"/>
      <x:c r="Z15" s="78"/>
      <x:c r="AA15" s="78"/>
      <x:c r="AB15" s="78"/>
      <x:c r="AC15" s="78"/>
      <x:c r="AD15" s="78"/>
      <x:c r="AE15" s="78"/>
    </x:row>
    <x:row r="16" ht="24" customHeight="1">
      <x:c r="A16" s="78"/>
      <x:c r="B16" s="103"/>
      <x:c r="C16" s="104" t="str">
        <x:v>자체</x:v>
      </x:c>
      <x:c r="D16" s="81" t="str">
        <x:v>한국사2</x:v>
      </x:c>
      <x:c r="E16" s="127"/>
      <x:c r="F16" s="128"/>
      <x:c r="G16" s="134"/>
      <x:c r="H16" s="128" t="n">
        <x:f>'기존안 과목내역'!I127</x:f>
        <x:v>3</x:v>
      </x:c>
      <x:c r="I16" s="128" t="n">
        <x:f>'기존안 과목내역'!J127</x:f>
        <x:v>12</x:v>
      </x:c>
      <x:c r="J16" s="134" t="n">
        <x:f>H16*I16</x:f>
        <x:v>36</x:v>
      </x:c>
      <x:c r="K16" s="128"/>
      <x:c r="L16" s="128"/>
      <x:c r="M16" s="134"/>
      <x:c r="N16" s="128"/>
      <x:c r="O16" s="128"/>
      <x:c r="P16" s="134"/>
      <x:c r="Q16" s="128"/>
      <x:c r="R16" s="128"/>
      <x:c r="S16" s="134"/>
      <x:c r="T16" s="128"/>
      <x:c r="U16" s="128"/>
      <x:c r="V16" s="137"/>
      <x:c r="W16" s="78"/>
      <x:c r="X16" s="78"/>
      <x:c r="Y16" s="78"/>
      <x:c r="Z16" s="78"/>
      <x:c r="AA16" s="78"/>
      <x:c r="AB16" s="78"/>
      <x:c r="AC16" s="78"/>
      <x:c r="AD16" s="78"/>
      <x:c r="AE16" s="78"/>
    </x:row>
    <x:row r="17" ht="24" customHeight="1">
      <x:c r="A17" s="78"/>
      <x:c r="B17" s="103"/>
      <x:c r="C17" s="104" t="str">
        <x:v>자체</x:v>
      </x:c>
      <x:c r="D17" s="81" t="str">
        <x:v>동아시아 역사 기행</x:v>
      </x:c>
      <x:c r="E17" s="127"/>
      <x:c r="F17" s="128"/>
      <x:c r="G17" s="134"/>
      <x:c r="H17" s="128"/>
      <x:c r="I17" s="128"/>
      <x:c r="J17" s="134"/>
      <x:c r="K17" s="128"/>
      <x:c r="L17" s="128"/>
      <x:c r="M17" s="134"/>
      <x:c r="N17" s="128" t="n">
        <x:f>'기존안 과목내역'!I131</x:f>
        <x:v>3</x:v>
      </x:c>
      <x:c r="O17" s="128" t="n">
        <x:f>'기존안 과목내역'!J131</x:f>
        <x:v>2</x:v>
      </x:c>
      <x:c r="P17" s="134" t="n">
        <x:f>N17*O17</x:f>
        <x:v>6</x:v>
      </x:c>
      <x:c r="Q17" s="128"/>
      <x:c r="R17" s="128"/>
      <x:c r="S17" s="134"/>
      <x:c r="T17" s="128"/>
      <x:c r="U17" s="128"/>
      <x:c r="V17" s="137"/>
      <x:c r="W17" s="78"/>
      <x:c r="X17" s="78"/>
      <x:c r="Y17" s="78"/>
      <x:c r="Z17" s="78"/>
      <x:c r="AA17" s="78"/>
      <x:c r="AB17" s="78"/>
      <x:c r="AC17" s="78"/>
      <x:c r="AD17" s="78"/>
      <x:c r="AE17" s="78"/>
    </x:row>
    <x:row r="18" ht="24" customHeight="1">
      <x:c r="A18" s="78"/>
      <x:c r="B18" s="103"/>
      <x:c r="C18" s="105" t="str">
        <x:v>통합</x:v>
      </x:c>
      <x:c r="D18" s="101" t="str">
        <x:v>통합사회1</x:v>
      </x:c>
      <x:c r="E18" s="127" t="n">
        <x:f>'기존안 과목내역'!I107</x:f>
        <x:v>4</x:v>
      </x:c>
      <x:c r="F18" s="128" t="n">
        <x:f>'공통융합 배정'!I29</x:f>
        <x:v>0</x:v>
      </x:c>
      <x:c r="G18" s="134" t="n">
        <x:f>'공통융합 배정'!J29</x:f>
        <x:v>0</x:v>
      </x:c>
      <x:c r="H18" s="128"/>
      <x:c r="I18" s="128"/>
      <x:c r="J18" s="134"/>
      <x:c r="K18" s="128"/>
      <x:c r="L18" s="128"/>
      <x:c r="M18" s="134"/>
      <x:c r="N18" s="128"/>
      <x:c r="O18" s="128"/>
      <x:c r="P18" s="134"/>
      <x:c r="Q18" s="128"/>
      <x:c r="R18" s="128"/>
      <x:c r="S18" s="134"/>
      <x:c r="T18" s="128"/>
      <x:c r="U18" s="128"/>
      <x:c r="V18" s="137"/>
      <x:c r="W18" s="78"/>
      <x:c r="X18" s="78"/>
      <x:c r="Y18" s="78"/>
      <x:c r="Z18" s="78"/>
      <x:c r="AA18" s="78"/>
      <x:c r="AB18" s="78"/>
      <x:c r="AC18" s="78"/>
      <x:c r="AD18" s="78"/>
      <x:c r="AE18" s="78"/>
    </x:row>
    <x:row r="19" ht="24" customHeight="1">
      <x:c r="A19" s="78"/>
      <x:c r="B19" s="103"/>
      <x:c r="C19" s="105" t="str">
        <x:v>융합</x:v>
      </x:c>
      <x:c r="D19" s="101" t="str">
        <x:v>역사로 탐구하는 현대 세계</x:v>
      </x:c>
      <x:c r="E19" s="127"/>
      <x:c r="F19" s="128"/>
      <x:c r="G19" s="134"/>
      <x:c r="H19" s="128"/>
      <x:c r="I19" s="128"/>
      <x:c r="J19" s="134"/>
      <x:c r="K19" s="128"/>
      <x:c r="L19" s="128"/>
      <x:c r="M19" s="134"/>
      <x:c r="N19" s="128"/>
      <x:c r="O19" s="128"/>
      <x:c r="P19" s="134"/>
      <x:c r="Q19" s="128" t="n">
        <x:f>'기존안 과목내역'!I122</x:f>
        <x:v>3</x:v>
      </x:c>
      <x:c r="R19" s="128" t="n">
        <x:f>'공통융합 배정'!I30</x:f>
        <x:v>5</x:v>
      </x:c>
      <x:c r="S19" s="134" t="n">
        <x:f>'공통융합 배정'!J30</x:f>
        <x:v>15</x:v>
      </x:c>
      <x:c r="T19" s="128"/>
      <x:c r="U19" s="128"/>
      <x:c r="V19" s="137"/>
      <x:c r="W19" s="78"/>
      <x:c r="X19" s="78"/>
      <x:c r="Y19" s="78"/>
      <x:c r="Z19" s="78"/>
      <x:c r="AA19" s="78"/>
      <x:c r="AB19" s="78"/>
      <x:c r="AC19" s="78"/>
      <x:c r="AD19" s="78"/>
      <x:c r="AE19" s="78"/>
    </x:row>
    <x:row r="20" ht="24" customHeight="1">
      <x:c r="A20" s="78"/>
      <x:c r="B20" s="103"/>
      <x:c r="C20" s="105" t="str">
        <x:v>통합</x:v>
      </x:c>
      <x:c r="D20" s="101" t="str">
        <x:v>통합사회2</x:v>
      </x:c>
      <x:c r="E20" s="127"/>
      <x:c r="F20" s="128"/>
      <x:c r="G20" s="134"/>
      <x:c r="H20" s="128" t="n">
        <x:f>'기존안 과목내역'!I128</x:f>
        <x:v>4</x:v>
      </x:c>
      <x:c r="I20" s="128" t="n">
        <x:f>'공통융합 배정'!I33</x:f>
        <x:v>2</x:v>
      </x:c>
      <x:c r="J20" s="134" t="n">
        <x:f>'공통융합 배정'!J33</x:f>
        <x:v>8</x:v>
      </x:c>
      <x:c r="K20" s="128"/>
      <x:c r="L20" s="128"/>
      <x:c r="M20" s="134"/>
      <x:c r="N20" s="128"/>
      <x:c r="O20" s="128"/>
      <x:c r="P20" s="134"/>
      <x:c r="Q20" s="128"/>
      <x:c r="R20" s="128"/>
      <x:c r="S20" s="134"/>
      <x:c r="T20" s="128"/>
      <x:c r="U20" s="128"/>
      <x:c r="V20" s="137"/>
      <x:c r="W20" s="78"/>
      <x:c r="X20" s="78"/>
      <x:c r="Y20" s="78"/>
      <x:c r="Z20" s="78"/>
      <x:c r="AA20" s="78"/>
      <x:c r="AB20" s="78"/>
      <x:c r="AC20" s="78"/>
      <x:c r="AD20" s="78"/>
      <x:c r="AE20" s="78"/>
    </x:row>
    <x:row r="21" ht="24" customHeight="1">
      <x:c r="A21" s="78"/>
      <x:c r="B21" s="103"/>
      <x:c r="C21" s="105" t="str">
        <x:v>융합</x:v>
      </x:c>
      <x:c r="D21" s="101" t="str">
        <x:v>사회문제 탐구</x:v>
      </x:c>
      <x:c r="E21" s="127"/>
      <x:c r="F21" s="128"/>
      <x:c r="G21" s="134"/>
      <x:c r="H21" s="128"/>
      <x:c r="I21" s="128"/>
      <x:c r="J21" s="134"/>
      <x:c r="K21" s="128"/>
      <x:c r="L21" s="128"/>
      <x:c r="M21" s="134"/>
      <x:c r="N21" s="128"/>
      <x:c r="O21" s="128"/>
      <x:c r="P21" s="134"/>
      <x:c r="Q21" s="128"/>
      <x:c r="R21" s="128"/>
      <x:c r="S21" s="134"/>
      <x:c r="T21" s="128" t="n">
        <x:f>'기존안 과목내역'!I141</x:f>
        <x:v>3</x:v>
      </x:c>
      <x:c r="U21" s="128" t="n">
        <x:f>'공통융합 배정'!I34</x:f>
        <x:v>0</x:v>
      </x:c>
      <x:c r="V21" s="137" t="n">
        <x:f>'공통융합 배정'!J34</x:f>
        <x:v>0</x:v>
      </x:c>
      <x:c r="W21" s="78"/>
      <x:c r="X21" s="78"/>
      <x:c r="Y21" s="78"/>
      <x:c r="Z21" s="78"/>
      <x:c r="AA21" s="78"/>
      <x:c r="AB21" s="78"/>
      <x:c r="AC21" s="78"/>
      <x:c r="AD21" s="78"/>
      <x:c r="AE21" s="78"/>
    </x:row>
    <x:row r="22" ht="24" customHeight="1">
      <x:c r="A22" s="78"/>
      <x:c r="B22" s="103"/>
      <x:c r="C22" s="105" t="str">
        <x:v>융합</x:v>
      </x:c>
      <x:c r="D22" s="101" t="str">
        <x:v>여행지리</x:v>
      </x:c>
      <x:c r="E22" s="127"/>
      <x:c r="F22" s="128"/>
      <x:c r="G22" s="134"/>
      <x:c r="H22" s="128"/>
      <x:c r="I22" s="128"/>
      <x:c r="J22" s="134"/>
      <x:c r="K22" s="128"/>
      <x:c r="L22" s="128"/>
      <x:c r="M22" s="134"/>
      <x:c r="N22" s="128"/>
      <x:c r="O22" s="128"/>
      <x:c r="P22" s="134"/>
      <x:c r="Q22" s="128"/>
      <x:c r="R22" s="128"/>
      <x:c r="S22" s="134"/>
      <x:c r="T22" s="128" t="n">
        <x:f>'기존안 과목내역'!I142</x:f>
        <x:v>3</x:v>
      </x:c>
      <x:c r="U22" s="128" t="n">
        <x:f>'공통융합 배정'!I35</x:f>
        <x:v>0</x:v>
      </x:c>
      <x:c r="V22" s="137" t="n">
        <x:f>'공통융합 배정'!J35</x:f>
        <x:v>0</x:v>
      </x:c>
      <x:c r="W22" s="78"/>
      <x:c r="X22" s="78"/>
      <x:c r="Y22" s="78"/>
      <x:c r="Z22" s="78"/>
      <x:c r="AA22" s="78"/>
      <x:c r="AB22" s="78"/>
      <x:c r="AC22" s="78"/>
      <x:c r="AD22" s="78"/>
      <x:c r="AE22" s="78"/>
    </x:row>
    <x:row r="23" ht="24" customHeight="1">
      <x:c r="A23" s="78"/>
      <x:c r="B23" s="103"/>
      <x:c r="C23" s="105" t="str">
        <x:v>융합</x:v>
      </x:c>
      <x:c r="D23" s="101" t="str">
        <x:v>윤리문제 탐구</x:v>
      </x:c>
      <x:c r="E23" s="130"/>
      <x:c r="F23" s="131"/>
      <x:c r="G23" s="135"/>
      <x:c r="H23" s="131"/>
      <x:c r="I23" s="131"/>
      <x:c r="J23" s="135"/>
      <x:c r="K23" s="131"/>
      <x:c r="L23" s="131"/>
      <x:c r="M23" s="135"/>
      <x:c r="N23" s="131"/>
      <x:c r="O23" s="131"/>
      <x:c r="P23" s="135"/>
      <x:c r="Q23" s="131"/>
      <x:c r="R23" s="131"/>
      <x:c r="S23" s="135"/>
      <x:c r="T23" s="131" t="n">
        <x:f>'기존안 과목내역'!I143</x:f>
        <x:v>3</x:v>
      </x:c>
      <x:c r="U23" s="131" t="n">
        <x:f>'공통융합 배정'!I36</x:f>
        <x:v>0</x:v>
      </x:c>
      <x:c r="V23" s="138" t="n">
        <x:f>'공통융합 배정'!J36</x:f>
        <x:v>0</x:v>
      </x:c>
      <x:c r="W23" s="78"/>
      <x:c r="X23" s="78"/>
      <x:c r="Y23" s="78"/>
      <x:c r="Z23" s="78"/>
      <x:c r="AA23" s="78"/>
      <x:c r="AB23" s="78"/>
      <x:c r="AC23" s="78"/>
      <x:c r="AD23" s="78"/>
      <x:c r="AE23" s="78"/>
    </x:row>
    <x:row r="24" ht="30" customHeight="1">
      <x:c r="A24" s="78"/>
      <x:c r="B24" s="141" t="str">
        <x:v>일반사회 합계</x:v>
      </x:c>
      <x:c r="C24" s="141"/>
      <x:c r="D24" s="141"/>
      <x:c r="E24" s="141"/>
      <x:c r="F24" s="141"/>
      <x:c r="G24" s="141" t="n">
        <x:f>SUM(G30)</x:f>
        <x:v>20</x:v>
      </x:c>
      <x:c r="H24" s="141"/>
      <x:c r="I24" s="141"/>
      <x:c r="J24" s="141" t="n">
        <x:f>SUM(J32)</x:f>
        <x:v>12</x:v>
      </x:c>
      <x:c r="K24" s="141"/>
      <x:c r="L24" s="141"/>
      <x:c r="M24" s="141" t="n">
        <x:f>SUM(M25)</x:f>
        <x:v>18</x:v>
      </x:c>
      <x:c r="N24" s="141"/>
      <x:c r="O24" s="141"/>
      <x:c r="P24" s="141" t="n">
        <x:f>SUM(P28,P29)</x:f>
        <x:v>27</x:v>
      </x:c>
      <x:c r="Q24" s="141"/>
      <x:c r="R24" s="141"/>
      <x:c r="S24" s="141" t="n">
        <x:f>SUM(S26,S27,S31)</x:f>
        <x:v>33</x:v>
      </x:c>
      <x:c r="T24" s="141"/>
      <x:c r="U24" s="141"/>
      <x:c r="V24" s="141" t="n">
        <x:f>SUM(V33,V34,V35)</x:f>
        <x:v>27</x:v>
      </x:c>
      <x:c r="W24" s="141" t="n">
        <x:f>IF(ISNUMBER('산정근거'!C10),'산정근거'!C10,"미정")</x:f>
        <x:v>4</x:v>
      </x:c>
      <x:c r="X24" s="143" t="n">
        <x:f>SUM(M25,S26,S27)</x:f>
        <x:v>51</x:v>
      </x:c>
      <x:c r="Y24" s="143" t="n">
        <x:f>SUM(G30,S31)</x:f>
        <x:v>20</x:v>
      </x:c>
      <x:c r="Z24" s="143" t="n">
        <x:f>X24+Y24</x:f>
        <x:v>71</x:v>
      </x:c>
      <x:c r="AA24" s="144" t="n">
        <x:f>IF(OR(NOT(ISNUMBER(W24)),W24&lt;=0),"미정",Z24/W24)</x:f>
        <x:v>17.75</x:v>
      </x:c>
      <x:c r="AB24" s="143" t="n">
        <x:f>SUM(P28,P29)</x:f>
        <x:v>27</x:v>
      </x:c>
      <x:c r="AC24" s="143" t="n">
        <x:f>SUM(J32,V33,V34,V35)</x:f>
        <x:v>39</x:v>
      </x:c>
      <x:c r="AD24" s="143" t="n">
        <x:f>AB24+AC24</x:f>
        <x:v>66</x:v>
      </x:c>
      <x:c r="AE24" s="144" t="n">
        <x:f>IF(OR(NOT(ISNUMBER(W24)),W24&lt;=0),"미정",AD24/W24)</x:f>
        <x:v>16.5</x:v>
      </x:c>
    </x:row>
    <x:row r="25" ht="24" customHeight="1">
      <x:c r="A25" s="78"/>
      <x:c r="B25" s="103" t="str">
        <x:v>일반사회</x:v>
      </x:c>
      <x:c r="C25" s="104" t="str">
        <x:v>자체</x:v>
      </x:c>
      <x:c r="D25" s="81" t="str">
        <x:v>사회와 문화</x:v>
      </x:c>
      <x:c r="E25" s="124"/>
      <x:c r="F25" s="125"/>
      <x:c r="G25" s="133"/>
      <x:c r="H25" s="125"/>
      <x:c r="I25" s="125"/>
      <x:c r="J25" s="133"/>
      <x:c r="K25" s="125" t="n">
        <x:f>'기존안 과목내역'!I110</x:f>
        <x:v>3</x:v>
      </x:c>
      <x:c r="L25" s="125" t="n">
        <x:f>'기존안 과목내역'!J110</x:f>
        <x:v>6</x:v>
      </x:c>
      <x:c r="M25" s="133" t="n">
        <x:f>K25*L25</x:f>
        <x:v>18</x:v>
      </x:c>
      <x:c r="N25" s="125"/>
      <x:c r="O25" s="125"/>
      <x:c r="P25" s="133"/>
      <x:c r="Q25" s="125"/>
      <x:c r="R25" s="125"/>
      <x:c r="S25" s="133"/>
      <x:c r="T25" s="125"/>
      <x:c r="U25" s="125"/>
      <x:c r="V25" s="136"/>
      <x:c r="W25" s="78"/>
      <x:c r="X25" s="78"/>
      <x:c r="Y25" s="78"/>
      <x:c r="Z25" s="78"/>
      <x:c r="AA25" s="78"/>
      <x:c r="AB25" s="78"/>
      <x:c r="AC25" s="78"/>
      <x:c r="AD25" s="78"/>
      <x:c r="AE25" s="78"/>
    </x:row>
    <x:row r="26" ht="24" customHeight="1">
      <x:c r="A26" s="78"/>
      <x:c r="B26" s="103"/>
      <x:c r="C26" s="104" t="str">
        <x:v>자체</x:v>
      </x:c>
      <x:c r="D26" s="81" t="str">
        <x:v>경제</x:v>
      </x:c>
      <x:c r="E26" s="127"/>
      <x:c r="F26" s="128"/>
      <x:c r="G26" s="134"/>
      <x:c r="H26" s="128"/>
      <x:c r="I26" s="128"/>
      <x:c r="J26" s="134"/>
      <x:c r="K26" s="128"/>
      <x:c r="L26" s="128"/>
      <x:c r="M26" s="134"/>
      <x:c r="N26" s="128"/>
      <x:c r="O26" s="128"/>
      <x:c r="P26" s="134"/>
      <x:c r="Q26" s="128" t="n">
        <x:f>'기존안 과목내역'!I118</x:f>
        <x:v>3</x:v>
      </x:c>
      <x:c r="R26" s="128" t="n">
        <x:f>'기존안 과목내역'!J118</x:f>
        <x:v>4</x:v>
      </x:c>
      <x:c r="S26" s="134" t="n">
        <x:f>Q26*R26</x:f>
        <x:v>12</x:v>
      </x:c>
      <x:c r="T26" s="128"/>
      <x:c r="U26" s="128"/>
      <x:c r="V26" s="137"/>
      <x:c r="W26" s="78"/>
      <x:c r="X26" s="78"/>
      <x:c r="Y26" s="78"/>
      <x:c r="Z26" s="78"/>
      <x:c r="AA26" s="78"/>
      <x:c r="AB26" s="78"/>
      <x:c r="AC26" s="78"/>
      <x:c r="AD26" s="78"/>
      <x:c r="AE26" s="78"/>
    </x:row>
    <x:row r="27" ht="24" customHeight="1">
      <x:c r="A27" s="78"/>
      <x:c r="B27" s="103"/>
      <x:c r="C27" s="104" t="str">
        <x:v>자체</x:v>
      </x:c>
      <x:c r="D27" s="81" t="str">
        <x:v>국제 관계의 이해</x:v>
      </x:c>
      <x:c r="E27" s="127"/>
      <x:c r="F27" s="128"/>
      <x:c r="G27" s="134"/>
      <x:c r="H27" s="128"/>
      <x:c r="I27" s="128"/>
      <x:c r="J27" s="134"/>
      <x:c r="K27" s="128"/>
      <x:c r="L27" s="128"/>
      <x:c r="M27" s="134"/>
      <x:c r="N27" s="128"/>
      <x:c r="O27" s="128"/>
      <x:c r="P27" s="134"/>
      <x:c r="Q27" s="128" t="n">
        <x:f>'기존안 과목내역'!I119</x:f>
        <x:v>3</x:v>
      </x:c>
      <x:c r="R27" s="128" t="n">
        <x:f>'기존안 과목내역'!J119</x:f>
        <x:v>7</x:v>
      </x:c>
      <x:c r="S27" s="134" t="n">
        <x:f>Q27*R27</x:f>
        <x:v>21</x:v>
      </x:c>
      <x:c r="T27" s="128"/>
      <x:c r="U27" s="128"/>
      <x:c r="V27" s="137"/>
      <x:c r="W27" s="78"/>
      <x:c r="X27" s="78"/>
      <x:c r="Y27" s="78"/>
      <x:c r="Z27" s="78"/>
      <x:c r="AA27" s="78"/>
      <x:c r="AB27" s="78"/>
      <x:c r="AC27" s="78"/>
      <x:c r="AD27" s="78"/>
      <x:c r="AE27" s="78"/>
    </x:row>
    <x:row r="28" ht="24" customHeight="1">
      <x:c r="A28" s="78"/>
      <x:c r="B28" s="103"/>
      <x:c r="C28" s="104" t="str">
        <x:v>자체</x:v>
      </x:c>
      <x:c r="D28" s="81" t="str">
        <x:v>법과 사회</x:v>
      </x:c>
      <x:c r="E28" s="127"/>
      <x:c r="F28" s="128"/>
      <x:c r="G28" s="134"/>
      <x:c r="H28" s="128"/>
      <x:c r="I28" s="128"/>
      <x:c r="J28" s="134"/>
      <x:c r="K28" s="128"/>
      <x:c r="L28" s="128"/>
      <x:c r="M28" s="134"/>
      <x:c r="N28" s="128" t="n">
        <x:f>'기존안 과목내역'!I132</x:f>
        <x:v>3</x:v>
      </x:c>
      <x:c r="O28" s="128" t="n">
        <x:f>'기존안 과목내역'!J132</x:f>
        <x:v>5</x:v>
      </x:c>
      <x:c r="P28" s="134" t="n">
        <x:f>N28*O28</x:f>
        <x:v>15</x:v>
      </x:c>
      <x:c r="Q28" s="128"/>
      <x:c r="R28" s="128"/>
      <x:c r="S28" s="134"/>
      <x:c r="T28" s="128"/>
      <x:c r="U28" s="128"/>
      <x:c r="V28" s="137"/>
      <x:c r="W28" s="78"/>
      <x:c r="X28" s="78"/>
      <x:c r="Y28" s="78"/>
      <x:c r="Z28" s="78"/>
      <x:c r="AA28" s="78"/>
      <x:c r="AB28" s="78"/>
      <x:c r="AC28" s="78"/>
      <x:c r="AD28" s="78"/>
      <x:c r="AE28" s="78"/>
    </x:row>
    <x:row r="29" ht="24" customHeight="1">
      <x:c r="A29" s="78"/>
      <x:c r="B29" s="103"/>
      <x:c r="C29" s="104" t="str">
        <x:v>자체</x:v>
      </x:c>
      <x:c r="D29" s="81" t="str">
        <x:v>정치</x:v>
      </x:c>
      <x:c r="E29" s="127"/>
      <x:c r="F29" s="128"/>
      <x:c r="G29" s="134"/>
      <x:c r="H29" s="128"/>
      <x:c r="I29" s="128"/>
      <x:c r="J29" s="134"/>
      <x:c r="K29" s="128"/>
      <x:c r="L29" s="128"/>
      <x:c r="M29" s="134"/>
      <x:c r="N29" s="128" t="n">
        <x:f>'기존안 과목내역'!I134</x:f>
        <x:v>3</x:v>
      </x:c>
      <x:c r="O29" s="128" t="n">
        <x:f>'기존안 과목내역'!J134</x:f>
        <x:v>4</x:v>
      </x:c>
      <x:c r="P29" s="134" t="n">
        <x:f>N29*O29</x:f>
        <x:v>12</x:v>
      </x:c>
      <x:c r="Q29" s="128"/>
      <x:c r="R29" s="128"/>
      <x:c r="S29" s="134"/>
      <x:c r="T29" s="128"/>
      <x:c r="U29" s="128"/>
      <x:c r="V29" s="137"/>
      <x:c r="W29" s="78"/>
      <x:c r="X29" s="78"/>
      <x:c r="Y29" s="78"/>
      <x:c r="Z29" s="78"/>
      <x:c r="AA29" s="78"/>
      <x:c r="AB29" s="78"/>
      <x:c r="AC29" s="78"/>
      <x:c r="AD29" s="78"/>
      <x:c r="AE29" s="78"/>
    </x:row>
    <x:row r="30" ht="24" customHeight="1">
      <x:c r="A30" s="78"/>
      <x:c r="B30" s="103"/>
      <x:c r="C30" s="105" t="str">
        <x:v>통합</x:v>
      </x:c>
      <x:c r="D30" s="101" t="str">
        <x:v>통합사회1</x:v>
      </x:c>
      <x:c r="E30" s="127" t="n">
        <x:f>'기존안 과목내역'!I107</x:f>
        <x:v>4</x:v>
      </x:c>
      <x:c r="F30" s="128" t="n">
        <x:f>'공통융합 배정'!K29</x:f>
        <x:v>5</x:v>
      </x:c>
      <x:c r="G30" s="134" t="n">
        <x:f>'공통융합 배정'!L29</x:f>
        <x:v>20</x:v>
      </x:c>
      <x:c r="H30" s="128"/>
      <x:c r="I30" s="128"/>
      <x:c r="J30" s="134"/>
      <x:c r="K30" s="128"/>
      <x:c r="L30" s="128"/>
      <x:c r="M30" s="134"/>
      <x:c r="N30" s="128"/>
      <x:c r="O30" s="128"/>
      <x:c r="P30" s="134"/>
      <x:c r="Q30" s="128"/>
      <x:c r="R30" s="128"/>
      <x:c r="S30" s="134"/>
      <x:c r="T30" s="128"/>
      <x:c r="U30" s="128"/>
      <x:c r="V30" s="137"/>
      <x:c r="W30" s="78"/>
      <x:c r="X30" s="78"/>
      <x:c r="Y30" s="78"/>
      <x:c r="Z30" s="78"/>
      <x:c r="AA30" s="78"/>
      <x:c r="AB30" s="78"/>
      <x:c r="AC30" s="78"/>
      <x:c r="AD30" s="78"/>
      <x:c r="AE30" s="78"/>
    </x:row>
    <x:row r="31" ht="24" customHeight="1">
      <x:c r="A31" s="78"/>
      <x:c r="B31" s="103"/>
      <x:c r="C31" s="105" t="str">
        <x:v>융합</x:v>
      </x:c>
      <x:c r="D31" s="101" t="str">
        <x:v>역사로 탐구하는 현대 세계</x:v>
      </x:c>
      <x:c r="E31" s="127"/>
      <x:c r="F31" s="128"/>
      <x:c r="G31" s="134"/>
      <x:c r="H31" s="128"/>
      <x:c r="I31" s="128"/>
      <x:c r="J31" s="134"/>
      <x:c r="K31" s="128"/>
      <x:c r="L31" s="128"/>
      <x:c r="M31" s="134"/>
      <x:c r="N31" s="128"/>
      <x:c r="O31" s="128"/>
      <x:c r="P31" s="134"/>
      <x:c r="Q31" s="128" t="n">
        <x:f>'기존안 과목내역'!I122</x:f>
        <x:v>3</x:v>
      </x:c>
      <x:c r="R31" s="128" t="n">
        <x:f>'공통융합 배정'!K30</x:f>
        <x:v>0</x:v>
      </x:c>
      <x:c r="S31" s="134" t="n">
        <x:f>'공통융합 배정'!L30</x:f>
        <x:v>0</x:v>
      </x:c>
      <x:c r="T31" s="128"/>
      <x:c r="U31" s="128"/>
      <x:c r="V31" s="137"/>
      <x:c r="W31" s="78"/>
      <x:c r="X31" s="78"/>
      <x:c r="Y31" s="78"/>
      <x:c r="Z31" s="78"/>
      <x:c r="AA31" s="78"/>
      <x:c r="AB31" s="78"/>
      <x:c r="AC31" s="78"/>
      <x:c r="AD31" s="78"/>
      <x:c r="AE31" s="78"/>
    </x:row>
    <x:row r="32" ht="24" customHeight="1">
      <x:c r="A32" s="78"/>
      <x:c r="B32" s="103"/>
      <x:c r="C32" s="105" t="str">
        <x:v>통합</x:v>
      </x:c>
      <x:c r="D32" s="101" t="str">
        <x:v>통합사회2</x:v>
      </x:c>
      <x:c r="E32" s="127"/>
      <x:c r="F32" s="128"/>
      <x:c r="G32" s="134"/>
      <x:c r="H32" s="128" t="n">
        <x:f>'기존안 과목내역'!I128</x:f>
        <x:v>4</x:v>
      </x:c>
      <x:c r="I32" s="128" t="n">
        <x:f>'공통융합 배정'!K33</x:f>
        <x:v>3</x:v>
      </x:c>
      <x:c r="J32" s="134" t="n">
        <x:f>'공통융합 배정'!L33</x:f>
        <x:v>12</x:v>
      </x:c>
      <x:c r="K32" s="128"/>
      <x:c r="L32" s="128"/>
      <x:c r="M32" s="134"/>
      <x:c r="N32" s="128"/>
      <x:c r="O32" s="128"/>
      <x:c r="P32" s="134"/>
      <x:c r="Q32" s="128"/>
      <x:c r="R32" s="128"/>
      <x:c r="S32" s="134"/>
      <x:c r="T32" s="128"/>
      <x:c r="U32" s="128"/>
      <x:c r="V32" s="137"/>
      <x:c r="W32" s="78"/>
      <x:c r="X32" s="78"/>
      <x:c r="Y32" s="78"/>
      <x:c r="Z32" s="78"/>
      <x:c r="AA32" s="78"/>
      <x:c r="AB32" s="78"/>
      <x:c r="AC32" s="78"/>
      <x:c r="AD32" s="78"/>
      <x:c r="AE32" s="78"/>
    </x:row>
    <x:row r="33" ht="24" customHeight="1">
      <x:c r="A33" s="78"/>
      <x:c r="B33" s="103"/>
      <x:c r="C33" s="105" t="str">
        <x:v>융합</x:v>
      </x:c>
      <x:c r="D33" s="101" t="str">
        <x:v>사회문제 탐구</x:v>
      </x:c>
      <x:c r="E33" s="127"/>
      <x:c r="F33" s="128"/>
      <x:c r="G33" s="134"/>
      <x:c r="H33" s="128"/>
      <x:c r="I33" s="128"/>
      <x:c r="J33" s="134"/>
      <x:c r="K33" s="128"/>
      <x:c r="L33" s="128"/>
      <x:c r="M33" s="134"/>
      <x:c r="N33" s="128"/>
      <x:c r="O33" s="128"/>
      <x:c r="P33" s="134"/>
      <x:c r="Q33" s="128"/>
      <x:c r="R33" s="128"/>
      <x:c r="S33" s="134"/>
      <x:c r="T33" s="128" t="n">
        <x:f>'기존안 과목내역'!I141</x:f>
        <x:v>3</x:v>
      </x:c>
      <x:c r="U33" s="128" t="n">
        <x:f>'공통융합 배정'!K34</x:f>
        <x:v>9</x:v>
      </x:c>
      <x:c r="V33" s="137" t="n">
        <x:f>'공통융합 배정'!L34</x:f>
        <x:v>27</x:v>
      </x:c>
      <x:c r="W33" s="78"/>
      <x:c r="X33" s="78"/>
      <x:c r="Y33" s="78"/>
      <x:c r="Z33" s="78"/>
      <x:c r="AA33" s="78"/>
      <x:c r="AB33" s="78"/>
      <x:c r="AC33" s="78"/>
      <x:c r="AD33" s="78"/>
      <x:c r="AE33" s="78"/>
    </x:row>
    <x:row r="34" ht="24" customHeight="1">
      <x:c r="A34" s="78"/>
      <x:c r="B34" s="103"/>
      <x:c r="C34" s="105" t="str">
        <x:v>융합</x:v>
      </x:c>
      <x:c r="D34" s="101" t="str">
        <x:v>여행지리</x:v>
      </x:c>
      <x:c r="E34" s="127"/>
      <x:c r="F34" s="128"/>
      <x:c r="G34" s="134"/>
      <x:c r="H34" s="128"/>
      <x:c r="I34" s="128"/>
      <x:c r="J34" s="134"/>
      <x:c r="K34" s="128"/>
      <x:c r="L34" s="128"/>
      <x:c r="M34" s="134"/>
      <x:c r="N34" s="128"/>
      <x:c r="O34" s="128"/>
      <x:c r="P34" s="134"/>
      <x:c r="Q34" s="128"/>
      <x:c r="R34" s="128"/>
      <x:c r="S34" s="134"/>
      <x:c r="T34" s="128" t="n">
        <x:f>'기존안 과목내역'!I142</x:f>
        <x:v>3</x:v>
      </x:c>
      <x:c r="U34" s="128" t="n">
        <x:f>'공통융합 배정'!K35</x:f>
        <x:v>0</x:v>
      </x:c>
      <x:c r="V34" s="137" t="n">
        <x:f>'공통융합 배정'!L35</x:f>
        <x:v>0</x:v>
      </x:c>
      <x:c r="W34" s="78"/>
      <x:c r="X34" s="78"/>
      <x:c r="Y34" s="78"/>
      <x:c r="Z34" s="78"/>
      <x:c r="AA34" s="78"/>
      <x:c r="AB34" s="78"/>
      <x:c r="AC34" s="78"/>
      <x:c r="AD34" s="78"/>
      <x:c r="AE34" s="78"/>
    </x:row>
    <x:row r="35" ht="24" customHeight="1">
      <x:c r="A35" s="78"/>
      <x:c r="B35" s="103"/>
      <x:c r="C35" s="105" t="str">
        <x:v>융합</x:v>
      </x:c>
      <x:c r="D35" s="101" t="str">
        <x:v>윤리문제 탐구</x:v>
      </x:c>
      <x:c r="E35" s="130"/>
      <x:c r="F35" s="131"/>
      <x:c r="G35" s="135"/>
      <x:c r="H35" s="131"/>
      <x:c r="I35" s="131"/>
      <x:c r="J35" s="135"/>
      <x:c r="K35" s="131"/>
      <x:c r="L35" s="131"/>
      <x:c r="M35" s="135"/>
      <x:c r="N35" s="131"/>
      <x:c r="O35" s="131"/>
      <x:c r="P35" s="135"/>
      <x:c r="Q35" s="131"/>
      <x:c r="R35" s="131"/>
      <x:c r="S35" s="135"/>
      <x:c r="T35" s="131" t="n">
        <x:f>'기존안 과목내역'!I143</x:f>
        <x:v>3</x:v>
      </x:c>
      <x:c r="U35" s="131" t="n">
        <x:f>'공통융합 배정'!K36</x:f>
        <x:v>0</x:v>
      </x:c>
      <x:c r="V35" s="138" t="n">
        <x:f>'공통융합 배정'!L36</x:f>
        <x:v>0</x:v>
      </x:c>
      <x:c r="W35" s="78"/>
      <x:c r="X35" s="78"/>
      <x:c r="Y35" s="78"/>
      <x:c r="Z35" s="78"/>
      <x:c r="AA35" s="78"/>
      <x:c r="AB35" s="78"/>
      <x:c r="AC35" s="78"/>
      <x:c r="AD35" s="78"/>
      <x:c r="AE35" s="78"/>
    </x:row>
    <x:row r="36" ht="30" customHeight="1">
      <x:c r="A36" s="78"/>
      <x:c r="B36" s="141" t="str">
        <x:v>지리 합계</x:v>
      </x:c>
      <x:c r="C36" s="141"/>
      <x:c r="D36" s="141"/>
      <x:c r="E36" s="141"/>
      <x:c r="F36" s="141"/>
      <x:c r="G36" s="141" t="n">
        <x:f>SUM(G40)</x:f>
        <x:v>4</x:v>
      </x:c>
      <x:c r="H36" s="141"/>
      <x:c r="I36" s="141"/>
      <x:c r="J36" s="141" t="n">
        <x:f>SUM(J42)</x:f>
        <x:v>4</x:v>
      </x:c>
      <x:c r="K36" s="141"/>
      <x:c r="L36" s="141"/>
      <x:c r="M36" s="141" t="n">
        <x:f>SUM(M37)</x:f>
        <x:v>9</x:v>
      </x:c>
      <x:c r="N36" s="141"/>
      <x:c r="O36" s="141"/>
      <x:c r="P36" s="141" t="n">
        <x:f>SUM(P39)</x:f>
        <x:v>6</x:v>
      </x:c>
      <x:c r="Q36" s="141"/>
      <x:c r="R36" s="141"/>
      <x:c r="S36" s="141" t="n">
        <x:f>SUM(S38,S41)</x:f>
        <x:v>21</x:v>
      </x:c>
      <x:c r="T36" s="141"/>
      <x:c r="U36" s="141"/>
      <x:c r="V36" s="141" t="n">
        <x:f>SUM(V43,V44,V45)</x:f>
        <x:v>21</x:v>
      </x:c>
      <x:c r="W36" s="141" t="n">
        <x:f>IF(ISNUMBER('산정근거'!C11),'산정근거'!C11,"미정")</x:f>
        <x:v>2</x:v>
      </x:c>
      <x:c r="X36" s="143" t="n">
        <x:f>SUM(M37,S38)</x:f>
        <x:v>30</x:v>
      </x:c>
      <x:c r="Y36" s="143" t="n">
        <x:f>SUM(G40,S41)</x:f>
        <x:v>4</x:v>
      </x:c>
      <x:c r="Z36" s="143" t="n">
        <x:f>X36+Y36</x:f>
        <x:v>34</x:v>
      </x:c>
      <x:c r="AA36" s="144" t="n">
        <x:f>IF(OR(NOT(ISNUMBER(W36)),W36&lt;=0),"미정",Z36/W36)</x:f>
        <x:v>17</x:v>
      </x:c>
      <x:c r="AB36" s="143" t="n">
        <x:f>SUM(P39)</x:f>
        <x:v>6</x:v>
      </x:c>
      <x:c r="AC36" s="143" t="n">
        <x:f>SUM(J42,V43,V44,V45)</x:f>
        <x:v>25</x:v>
      </x:c>
      <x:c r="AD36" s="143" t="n">
        <x:f>AB36+AC36</x:f>
        <x:v>31</x:v>
      </x:c>
      <x:c r="AE36" s="144" t="n">
        <x:f>IF(OR(NOT(ISNUMBER(W36)),W36&lt;=0),"미정",AD36/W36)</x:f>
        <x:v>15.5</x:v>
      </x:c>
    </x:row>
    <x:row r="37" ht="24" customHeight="1">
      <x:c r="A37" s="78"/>
      <x:c r="B37" s="103" t="str">
        <x:v>지리</x:v>
      </x:c>
      <x:c r="C37" s="104" t="str">
        <x:v>자체</x:v>
      </x:c>
      <x:c r="D37" s="81" t="str">
        <x:v>세계시민과 지리</x:v>
      </x:c>
      <x:c r="E37" s="124"/>
      <x:c r="F37" s="125"/>
      <x:c r="G37" s="133"/>
      <x:c r="H37" s="125"/>
      <x:c r="I37" s="125"/>
      <x:c r="J37" s="133"/>
      <x:c r="K37" s="125" t="n">
        <x:f>'기존안 과목내역'!I112</x:f>
        <x:v>3</x:v>
      </x:c>
      <x:c r="L37" s="125" t="n">
        <x:f>'기존안 과목내역'!J112</x:f>
        <x:v>3</x:v>
      </x:c>
      <x:c r="M37" s="133" t="n">
        <x:f>K37*L37</x:f>
        <x:v>9</x:v>
      </x:c>
      <x:c r="N37" s="125"/>
      <x:c r="O37" s="125"/>
      <x:c r="P37" s="133"/>
      <x:c r="Q37" s="125"/>
      <x:c r="R37" s="125"/>
      <x:c r="S37" s="133"/>
      <x:c r="T37" s="125"/>
      <x:c r="U37" s="125"/>
      <x:c r="V37" s="136"/>
      <x:c r="W37" s="78"/>
      <x:c r="X37" s="78"/>
      <x:c r="Y37" s="78"/>
      <x:c r="Z37" s="78"/>
      <x:c r="AA37" s="78"/>
      <x:c r="AB37" s="78"/>
      <x:c r="AC37" s="78"/>
      <x:c r="AD37" s="78"/>
      <x:c r="AE37" s="78"/>
    </x:row>
    <x:row r="38" ht="24" customHeight="1">
      <x:c r="A38" s="78"/>
      <x:c r="B38" s="103"/>
      <x:c r="C38" s="104" t="str">
        <x:v>자체</x:v>
      </x:c>
      <x:c r="D38" s="81" t="str">
        <x:v>도시의 미래 탐구</x:v>
      </x:c>
      <x:c r="E38" s="127"/>
      <x:c r="F38" s="128"/>
      <x:c r="G38" s="134"/>
      <x:c r="H38" s="128"/>
      <x:c r="I38" s="128"/>
      <x:c r="J38" s="134"/>
      <x:c r="K38" s="128"/>
      <x:c r="L38" s="128"/>
      <x:c r="M38" s="134"/>
      <x:c r="N38" s="128"/>
      <x:c r="O38" s="128"/>
      <x:c r="P38" s="134"/>
      <x:c r="Q38" s="128" t="n">
        <x:f>'기존안 과목내역'!I120</x:f>
        <x:v>3</x:v>
      </x:c>
      <x:c r="R38" s="128" t="n">
        <x:f>'기존안 과목내역'!J120</x:f>
        <x:v>7</x:v>
      </x:c>
      <x:c r="S38" s="134" t="n">
        <x:f>Q38*R38</x:f>
        <x:v>21</x:v>
      </x:c>
      <x:c r="T38" s="128"/>
      <x:c r="U38" s="128"/>
      <x:c r="V38" s="137"/>
      <x:c r="W38" s="78"/>
      <x:c r="X38" s="78"/>
      <x:c r="Y38" s="78"/>
      <x:c r="Z38" s="78"/>
      <x:c r="AA38" s="78"/>
      <x:c r="AB38" s="78"/>
      <x:c r="AC38" s="78"/>
      <x:c r="AD38" s="78"/>
      <x:c r="AE38" s="78"/>
    </x:row>
    <x:row r="39" ht="24" customHeight="1">
      <x:c r="A39" s="78"/>
      <x:c r="B39" s="103"/>
      <x:c r="C39" s="104" t="str">
        <x:v>자체</x:v>
      </x:c>
      <x:c r="D39" s="81" t="str">
        <x:v>한국지리 탐구</x:v>
      </x:c>
      <x:c r="E39" s="127"/>
      <x:c r="F39" s="128"/>
      <x:c r="G39" s="134"/>
      <x:c r="H39" s="128"/>
      <x:c r="I39" s="128"/>
      <x:c r="J39" s="134"/>
      <x:c r="K39" s="128"/>
      <x:c r="L39" s="128"/>
      <x:c r="M39" s="134"/>
      <x:c r="N39" s="128" t="n">
        <x:f>'기존안 과목내역'!I135</x:f>
        <x:v>3</x:v>
      </x:c>
      <x:c r="O39" s="128" t="n">
        <x:f>'기존안 과목내역'!J135</x:f>
        <x:v>2</x:v>
      </x:c>
      <x:c r="P39" s="134" t="n">
        <x:f>N39*O39</x:f>
        <x:v>6</x:v>
      </x:c>
      <x:c r="Q39" s="128"/>
      <x:c r="R39" s="128"/>
      <x:c r="S39" s="134"/>
      <x:c r="T39" s="128"/>
      <x:c r="U39" s="128"/>
      <x:c r="V39" s="137"/>
      <x:c r="W39" s="78"/>
      <x:c r="X39" s="78"/>
      <x:c r="Y39" s="78"/>
      <x:c r="Z39" s="78"/>
      <x:c r="AA39" s="78"/>
      <x:c r="AB39" s="78"/>
      <x:c r="AC39" s="78"/>
      <x:c r="AD39" s="78"/>
      <x:c r="AE39" s="78"/>
    </x:row>
    <x:row r="40" ht="24" customHeight="1">
      <x:c r="A40" s="78"/>
      <x:c r="B40" s="103"/>
      <x:c r="C40" s="105" t="str">
        <x:v>통합</x:v>
      </x:c>
      <x:c r="D40" s="101" t="str">
        <x:v>통합사회1</x:v>
      </x:c>
      <x:c r="E40" s="127" t="n">
        <x:f>'기존안 과목내역'!I107</x:f>
        <x:v>4</x:v>
      </x:c>
      <x:c r="F40" s="128" t="n">
        <x:f>'공통융합 배정'!M29</x:f>
        <x:v>1</x:v>
      </x:c>
      <x:c r="G40" s="134" t="n">
        <x:f>'공통융합 배정'!N29</x:f>
        <x:v>4</x:v>
      </x:c>
      <x:c r="H40" s="128"/>
      <x:c r="I40" s="128"/>
      <x:c r="J40" s="134"/>
      <x:c r="K40" s="128"/>
      <x:c r="L40" s="128"/>
      <x:c r="M40" s="134"/>
      <x:c r="N40" s="128"/>
      <x:c r="O40" s="128"/>
      <x:c r="P40" s="134"/>
      <x:c r="Q40" s="128"/>
      <x:c r="R40" s="128"/>
      <x:c r="S40" s="134"/>
      <x:c r="T40" s="128"/>
      <x:c r="U40" s="128"/>
      <x:c r="V40" s="137"/>
      <x:c r="W40" s="78"/>
      <x:c r="X40" s="78"/>
      <x:c r="Y40" s="78"/>
      <x:c r="Z40" s="78"/>
      <x:c r="AA40" s="78"/>
      <x:c r="AB40" s="78"/>
      <x:c r="AC40" s="78"/>
      <x:c r="AD40" s="78"/>
      <x:c r="AE40" s="78"/>
    </x:row>
    <x:row r="41" ht="24" customHeight="1">
      <x:c r="A41" s="78"/>
      <x:c r="B41" s="103"/>
      <x:c r="C41" s="105" t="str">
        <x:v>융합</x:v>
      </x:c>
      <x:c r="D41" s="101" t="str">
        <x:v>역사로 탐구하는 현대 세계</x:v>
      </x:c>
      <x:c r="E41" s="127"/>
      <x:c r="F41" s="128"/>
      <x:c r="G41" s="134"/>
      <x:c r="H41" s="128"/>
      <x:c r="I41" s="128"/>
      <x:c r="J41" s="134"/>
      <x:c r="K41" s="128"/>
      <x:c r="L41" s="128"/>
      <x:c r="M41" s="134"/>
      <x:c r="N41" s="128"/>
      <x:c r="O41" s="128"/>
      <x:c r="P41" s="134"/>
      <x:c r="Q41" s="128" t="n">
        <x:f>'기존안 과목내역'!I122</x:f>
        <x:v>3</x:v>
      </x:c>
      <x:c r="R41" s="128" t="n">
        <x:f>'공통융합 배정'!M30</x:f>
        <x:v>0</x:v>
      </x:c>
      <x:c r="S41" s="134" t="n">
        <x:f>'공통융합 배정'!N30</x:f>
        <x:v>0</x:v>
      </x:c>
      <x:c r="T41" s="128"/>
      <x:c r="U41" s="128"/>
      <x:c r="V41" s="137"/>
      <x:c r="W41" s="78"/>
      <x:c r="X41" s="78"/>
      <x:c r="Y41" s="78"/>
      <x:c r="Z41" s="78"/>
      <x:c r="AA41" s="78"/>
      <x:c r="AB41" s="78"/>
      <x:c r="AC41" s="78"/>
      <x:c r="AD41" s="78"/>
      <x:c r="AE41" s="78"/>
    </x:row>
    <x:row r="42" ht="24" customHeight="1">
      <x:c r="A42" s="78"/>
      <x:c r="B42" s="103"/>
      <x:c r="C42" s="105" t="str">
        <x:v>통합</x:v>
      </x:c>
      <x:c r="D42" s="101" t="str">
        <x:v>통합사회2</x:v>
      </x:c>
      <x:c r="E42" s="127"/>
      <x:c r="F42" s="128"/>
      <x:c r="G42" s="134"/>
      <x:c r="H42" s="128" t="n">
        <x:f>'기존안 과목내역'!I128</x:f>
        <x:v>4</x:v>
      </x:c>
      <x:c r="I42" s="128" t="n">
        <x:f>'공통융합 배정'!M33</x:f>
        <x:v>1</x:v>
      </x:c>
      <x:c r="J42" s="134" t="n">
        <x:f>'공통융합 배정'!N33</x:f>
        <x:v>4</x:v>
      </x:c>
      <x:c r="K42" s="128"/>
      <x:c r="L42" s="128"/>
      <x:c r="M42" s="134"/>
      <x:c r="N42" s="128"/>
      <x:c r="O42" s="128"/>
      <x:c r="P42" s="134"/>
      <x:c r="Q42" s="128"/>
      <x:c r="R42" s="128"/>
      <x:c r="S42" s="134"/>
      <x:c r="T42" s="128"/>
      <x:c r="U42" s="128"/>
      <x:c r="V42" s="137"/>
      <x:c r="W42" s="78"/>
      <x:c r="X42" s="78"/>
      <x:c r="Y42" s="78"/>
      <x:c r="Z42" s="78"/>
      <x:c r="AA42" s="78"/>
      <x:c r="AB42" s="78"/>
      <x:c r="AC42" s="78"/>
      <x:c r="AD42" s="78"/>
      <x:c r="AE42" s="78"/>
    </x:row>
    <x:row r="43" ht="24" customHeight="1">
      <x:c r="A43" s="78"/>
      <x:c r="B43" s="103"/>
      <x:c r="C43" s="105" t="str">
        <x:v>융합</x:v>
      </x:c>
      <x:c r="D43" s="101" t="str">
        <x:v>사회문제 탐구</x:v>
      </x:c>
      <x:c r="E43" s="127"/>
      <x:c r="F43" s="128"/>
      <x:c r="G43" s="134"/>
      <x:c r="H43" s="128"/>
      <x:c r="I43" s="128"/>
      <x:c r="J43" s="134"/>
      <x:c r="K43" s="128"/>
      <x:c r="L43" s="128"/>
      <x:c r="M43" s="134"/>
      <x:c r="N43" s="128"/>
      <x:c r="O43" s="128"/>
      <x:c r="P43" s="134"/>
      <x:c r="Q43" s="128"/>
      <x:c r="R43" s="128"/>
      <x:c r="S43" s="134"/>
      <x:c r="T43" s="128" t="n">
        <x:f>'기존안 과목내역'!I141</x:f>
        <x:v>3</x:v>
      </x:c>
      <x:c r="U43" s="128" t="n">
        <x:f>'공통융합 배정'!M34</x:f>
        <x:v>0</x:v>
      </x:c>
      <x:c r="V43" s="137" t="n">
        <x:f>'공통융합 배정'!N34</x:f>
        <x:v>0</x:v>
      </x:c>
      <x:c r="W43" s="78"/>
      <x:c r="X43" s="78"/>
      <x:c r="Y43" s="78"/>
      <x:c r="Z43" s="78"/>
      <x:c r="AA43" s="78"/>
      <x:c r="AB43" s="78"/>
      <x:c r="AC43" s="78"/>
      <x:c r="AD43" s="78"/>
      <x:c r="AE43" s="78"/>
    </x:row>
    <x:row r="44" ht="24" customHeight="1">
      <x:c r="A44" s="78"/>
      <x:c r="B44" s="103"/>
      <x:c r="C44" s="105" t="str">
        <x:v>융합</x:v>
      </x:c>
      <x:c r="D44" s="101" t="str">
        <x:v>여행지리</x:v>
      </x:c>
      <x:c r="E44" s="127"/>
      <x:c r="F44" s="128"/>
      <x:c r="G44" s="134"/>
      <x:c r="H44" s="128"/>
      <x:c r="I44" s="128"/>
      <x:c r="J44" s="134"/>
      <x:c r="K44" s="128"/>
      <x:c r="L44" s="128"/>
      <x:c r="M44" s="134"/>
      <x:c r="N44" s="128"/>
      <x:c r="O44" s="128"/>
      <x:c r="P44" s="134"/>
      <x:c r="Q44" s="128"/>
      <x:c r="R44" s="128"/>
      <x:c r="S44" s="134"/>
      <x:c r="T44" s="128" t="n">
        <x:f>'기존안 과목내역'!I142</x:f>
        <x:v>3</x:v>
      </x:c>
      <x:c r="U44" s="128" t="n">
        <x:f>'공통융합 배정'!M35</x:f>
        <x:v>7</x:v>
      </x:c>
      <x:c r="V44" s="137" t="n">
        <x:f>'공통융합 배정'!N35</x:f>
        <x:v>21</x:v>
      </x:c>
      <x:c r="W44" s="78"/>
      <x:c r="X44" s="78"/>
      <x:c r="Y44" s="78"/>
      <x:c r="Z44" s="78"/>
      <x:c r="AA44" s="78"/>
      <x:c r="AB44" s="78"/>
      <x:c r="AC44" s="78"/>
      <x:c r="AD44" s="78"/>
      <x:c r="AE44" s="78"/>
    </x:row>
    <x:row r="45" ht="24" customHeight="1">
      <x:c r="A45" s="78"/>
      <x:c r="B45" s="103"/>
      <x:c r="C45" s="105" t="str">
        <x:v>융합</x:v>
      </x:c>
      <x:c r="D45" s="101" t="str">
        <x:v>윤리문제 탐구</x:v>
      </x:c>
      <x:c r="E45" s="130"/>
      <x:c r="F45" s="131"/>
      <x:c r="G45" s="135"/>
      <x:c r="H45" s="131"/>
      <x:c r="I45" s="131"/>
      <x:c r="J45" s="135"/>
      <x:c r="K45" s="131"/>
      <x:c r="L45" s="131"/>
      <x:c r="M45" s="135"/>
      <x:c r="N45" s="131"/>
      <x:c r="O45" s="131"/>
      <x:c r="P45" s="135"/>
      <x:c r="Q45" s="131"/>
      <x:c r="R45" s="131"/>
      <x:c r="S45" s="135"/>
      <x:c r="T45" s="131" t="n">
        <x:f>'기존안 과목내역'!I143</x:f>
        <x:v>3</x:v>
      </x:c>
      <x:c r="U45" s="131" t="n">
        <x:f>'공통융합 배정'!M36</x:f>
        <x:v>0</x:v>
      </x:c>
      <x:c r="V45" s="138" t="n">
        <x:f>'공통융합 배정'!N36</x:f>
        <x:v>0</x:v>
      </x:c>
      <x:c r="W45" s="78"/>
      <x:c r="X45" s="78"/>
      <x:c r="Y45" s="78"/>
      <x:c r="Z45" s="78"/>
      <x:c r="AA45" s="78"/>
      <x:c r="AB45" s="78"/>
      <x:c r="AC45" s="78"/>
      <x:c r="AD45" s="78"/>
      <x:c r="AE45" s="78"/>
    </x:row>
    <x:row r="46" ht="30" customHeight="1">
      <x:c r="A46" s="78"/>
      <x:c r="B46" s="141" t="str">
        <x:v>윤리 합계</x:v>
      </x:c>
      <x:c r="C46" s="141"/>
      <x:c r="D46" s="141"/>
      <x:c r="E46" s="141"/>
      <x:c r="F46" s="141"/>
      <x:c r="G46" s="141" t="n">
        <x:f>SUM(G50)</x:f>
        <x:v>24</x:v>
      </x:c>
      <x:c r="H46" s="141"/>
      <x:c r="I46" s="141"/>
      <x:c r="J46" s="141" t="n">
        <x:f>SUM(J52)</x:f>
        <x:v>24</x:v>
      </x:c>
      <x:c r="K46" s="141"/>
      <x:c r="L46" s="141"/>
      <x:c r="M46" s="141" t="n">
        <x:f>SUM(M47)</x:f>
        <x:v>18</x:v>
      </x:c>
      <x:c r="N46" s="141"/>
      <x:c r="O46" s="141"/>
      <x:c r="P46" s="141" t="n">
        <x:f>SUM(P49)</x:f>
        <x:v>15</x:v>
      </x:c>
      <x:c r="Q46" s="141"/>
      <x:c r="R46" s="141"/>
      <x:c r="S46" s="141" t="n">
        <x:f>SUM(S48,S51)</x:f>
        <x:v>12</x:v>
      </x:c>
      <x:c r="T46" s="141"/>
      <x:c r="U46" s="141"/>
      <x:c r="V46" s="141" t="n">
        <x:f>SUM(V53,V54,V55)</x:f>
        <x:v>12</x:v>
      </x:c>
      <x:c r="W46" s="141" t="n">
        <x:f>IF(ISNUMBER('산정근거'!C13),'산정근거'!C13,"미정")</x:f>
        <x:v>3</x:v>
      </x:c>
      <x:c r="X46" s="143" t="n">
        <x:f>SUM(M47,S48)</x:f>
        <x:v>30</x:v>
      </x:c>
      <x:c r="Y46" s="143" t="n">
        <x:f>SUM(G50,S51)</x:f>
        <x:v>24</x:v>
      </x:c>
      <x:c r="Z46" s="143" t="n">
        <x:f>X46+Y46</x:f>
        <x:v>54</x:v>
      </x:c>
      <x:c r="AA46" s="144" t="n">
        <x:f>IF(OR(NOT(ISNUMBER(W46)),W46&lt;=0),"미정",Z46/W46)</x:f>
        <x:v>18</x:v>
      </x:c>
      <x:c r="AB46" s="143" t="n">
        <x:f>SUM(P49)</x:f>
        <x:v>15</x:v>
      </x:c>
      <x:c r="AC46" s="143" t="n">
        <x:f>SUM(J52,V53,V54,V55)</x:f>
        <x:v>36</x:v>
      </x:c>
      <x:c r="AD46" s="143" t="n">
        <x:f>AB46+AC46</x:f>
        <x:v>51</x:v>
      </x:c>
      <x:c r="AE46" s="144" t="n">
        <x:f>IF(OR(NOT(ISNUMBER(W46)),W46&lt;=0),"미정",AD46/W46)</x:f>
        <x:v>17</x:v>
      </x:c>
    </x:row>
    <x:row r="47" ht="24" customHeight="1">
      <x:c r="A47" s="78"/>
      <x:c r="B47" s="103" t="str">
        <x:v>윤리</x:v>
      </x:c>
      <x:c r="C47" s="104" t="str">
        <x:v>자체</x:v>
      </x:c>
      <x:c r="D47" s="81" t="str">
        <x:v>현대사회와 윤리</x:v>
      </x:c>
      <x:c r="E47" s="124"/>
      <x:c r="F47" s="125"/>
      <x:c r="G47" s="133"/>
      <x:c r="H47" s="125"/>
      <x:c r="I47" s="125"/>
      <x:c r="J47" s="133"/>
      <x:c r="K47" s="125" t="n">
        <x:f>'기존안 과목내역'!I113</x:f>
        <x:v>3</x:v>
      </x:c>
      <x:c r="L47" s="125" t="n">
        <x:f>'기존안 과목내역'!J113</x:f>
        <x:v>6</x:v>
      </x:c>
      <x:c r="M47" s="133" t="n">
        <x:f>K47*L47</x:f>
        <x:v>18</x:v>
      </x:c>
      <x:c r="N47" s="125"/>
      <x:c r="O47" s="125"/>
      <x:c r="P47" s="133"/>
      <x:c r="Q47" s="125"/>
      <x:c r="R47" s="125"/>
      <x:c r="S47" s="133"/>
      <x:c r="T47" s="125"/>
      <x:c r="U47" s="125"/>
      <x:c r="V47" s="136"/>
      <x:c r="W47" s="78"/>
      <x:c r="X47" s="78"/>
      <x:c r="Y47" s="78"/>
      <x:c r="Z47" s="78"/>
      <x:c r="AA47" s="78"/>
      <x:c r="AB47" s="78"/>
      <x:c r="AC47" s="78"/>
      <x:c r="AD47" s="78"/>
      <x:c r="AE47" s="78"/>
    </x:row>
    <x:row r="48" ht="24" customHeight="1">
      <x:c r="A48" s="78"/>
      <x:c r="B48" s="103"/>
      <x:c r="C48" s="104" t="str">
        <x:v>자체</x:v>
      </x:c>
      <x:c r="D48" s="81" t="str">
        <x:v>인문학과 윤리</x:v>
      </x:c>
      <x:c r="E48" s="127"/>
      <x:c r="F48" s="128"/>
      <x:c r="G48" s="134"/>
      <x:c r="H48" s="128"/>
      <x:c r="I48" s="128"/>
      <x:c r="J48" s="134"/>
      <x:c r="K48" s="128"/>
      <x:c r="L48" s="128"/>
      <x:c r="M48" s="134"/>
      <x:c r="N48" s="128"/>
      <x:c r="O48" s="128"/>
      <x:c r="P48" s="134"/>
      <x:c r="Q48" s="128" t="n">
        <x:f>'기존안 과목내역'!I121</x:f>
        <x:v>3</x:v>
      </x:c>
      <x:c r="R48" s="128" t="n">
        <x:f>'기존안 과목내역'!J121</x:f>
        <x:v>4</x:v>
      </x:c>
      <x:c r="S48" s="134" t="n">
        <x:f>Q48*R48</x:f>
        <x:v>12</x:v>
      </x:c>
      <x:c r="T48" s="128"/>
      <x:c r="U48" s="128"/>
      <x:c r="V48" s="137"/>
      <x:c r="W48" s="78"/>
      <x:c r="X48" s="78"/>
      <x:c r="Y48" s="78"/>
      <x:c r="Z48" s="78"/>
      <x:c r="AA48" s="78"/>
      <x:c r="AB48" s="78"/>
      <x:c r="AC48" s="78"/>
      <x:c r="AD48" s="78"/>
      <x:c r="AE48" s="78"/>
    </x:row>
    <x:row r="49" ht="24" customHeight="1">
      <x:c r="A49" s="78"/>
      <x:c r="B49" s="103"/>
      <x:c r="C49" s="104" t="str">
        <x:v>자체</x:v>
      </x:c>
      <x:c r="D49" s="81" t="str">
        <x:v>윤리와 사상</x:v>
      </x:c>
      <x:c r="E49" s="127"/>
      <x:c r="F49" s="128"/>
      <x:c r="G49" s="134"/>
      <x:c r="H49" s="128"/>
      <x:c r="I49" s="128"/>
      <x:c r="J49" s="134"/>
      <x:c r="K49" s="128"/>
      <x:c r="L49" s="128"/>
      <x:c r="M49" s="134"/>
      <x:c r="N49" s="128" t="n">
        <x:f>'기존안 과목내역'!I133</x:f>
        <x:v>3</x:v>
      </x:c>
      <x:c r="O49" s="128" t="n">
        <x:f>'기존안 과목내역'!J133</x:f>
        <x:v>5</x:v>
      </x:c>
      <x:c r="P49" s="134" t="n">
        <x:f>N49*O49</x:f>
        <x:v>15</x:v>
      </x:c>
      <x:c r="Q49" s="128"/>
      <x:c r="R49" s="128"/>
      <x:c r="S49" s="134"/>
      <x:c r="T49" s="128"/>
      <x:c r="U49" s="128"/>
      <x:c r="V49" s="137"/>
      <x:c r="W49" s="78"/>
      <x:c r="X49" s="78"/>
      <x:c r="Y49" s="78"/>
      <x:c r="Z49" s="78"/>
      <x:c r="AA49" s="78"/>
      <x:c r="AB49" s="78"/>
      <x:c r="AC49" s="78"/>
      <x:c r="AD49" s="78"/>
      <x:c r="AE49" s="78"/>
    </x:row>
    <x:row r="50" ht="24" customHeight="1">
      <x:c r="A50" s="78"/>
      <x:c r="B50" s="103"/>
      <x:c r="C50" s="105" t="str">
        <x:v>통합</x:v>
      </x:c>
      <x:c r="D50" s="101" t="str">
        <x:v>통합사회1</x:v>
      </x:c>
      <x:c r="E50" s="127" t="n">
        <x:f>'기존안 과목내역'!I107</x:f>
        <x:v>4</x:v>
      </x:c>
      <x:c r="F50" s="128" t="n">
        <x:f>'공통융합 배정'!O29</x:f>
        <x:v>6</x:v>
      </x:c>
      <x:c r="G50" s="134" t="n">
        <x:f>'공통융합 배정'!P29</x:f>
        <x:v>24</x:v>
      </x:c>
      <x:c r="H50" s="128"/>
      <x:c r="I50" s="128"/>
      <x:c r="J50" s="134"/>
      <x:c r="K50" s="128"/>
      <x:c r="L50" s="128"/>
      <x:c r="M50" s="134"/>
      <x:c r="N50" s="128"/>
      <x:c r="O50" s="128"/>
      <x:c r="P50" s="134"/>
      <x:c r="Q50" s="128"/>
      <x:c r="R50" s="128"/>
      <x:c r="S50" s="134"/>
      <x:c r="T50" s="128"/>
      <x:c r="U50" s="128"/>
      <x:c r="V50" s="137"/>
      <x:c r="W50" s="78"/>
      <x:c r="X50" s="78"/>
      <x:c r="Y50" s="78"/>
      <x:c r="Z50" s="78"/>
      <x:c r="AA50" s="78"/>
      <x:c r="AB50" s="78"/>
      <x:c r="AC50" s="78"/>
      <x:c r="AD50" s="78"/>
      <x:c r="AE50" s="78"/>
    </x:row>
    <x:row r="51" ht="24" customHeight="1">
      <x:c r="A51" s="78"/>
      <x:c r="B51" s="103"/>
      <x:c r="C51" s="105" t="str">
        <x:v>융합</x:v>
      </x:c>
      <x:c r="D51" s="101" t="str">
        <x:v>역사로 탐구하는 현대 세계</x:v>
      </x:c>
      <x:c r="E51" s="127"/>
      <x:c r="F51" s="128"/>
      <x:c r="G51" s="134"/>
      <x:c r="H51" s="128"/>
      <x:c r="I51" s="128"/>
      <x:c r="J51" s="134"/>
      <x:c r="K51" s="128"/>
      <x:c r="L51" s="128"/>
      <x:c r="M51" s="134"/>
      <x:c r="N51" s="128"/>
      <x:c r="O51" s="128"/>
      <x:c r="P51" s="134"/>
      <x:c r="Q51" s="128" t="n">
        <x:f>'기존안 과목내역'!I122</x:f>
        <x:v>3</x:v>
      </x:c>
      <x:c r="R51" s="128" t="n">
        <x:f>'공통융합 배정'!O30</x:f>
        <x:v>0</x:v>
      </x:c>
      <x:c r="S51" s="134" t="n">
        <x:f>'공통융합 배정'!P30</x:f>
        <x:v>0</x:v>
      </x:c>
      <x:c r="T51" s="128"/>
      <x:c r="U51" s="128"/>
      <x:c r="V51" s="137"/>
      <x:c r="W51" s="78"/>
      <x:c r="X51" s="78"/>
      <x:c r="Y51" s="78"/>
      <x:c r="Z51" s="78"/>
      <x:c r="AA51" s="78"/>
      <x:c r="AB51" s="78"/>
      <x:c r="AC51" s="78"/>
      <x:c r="AD51" s="78"/>
      <x:c r="AE51" s="78"/>
    </x:row>
    <x:row r="52" ht="24" customHeight="1">
      <x:c r="A52" s="78"/>
      <x:c r="B52" s="103"/>
      <x:c r="C52" s="105" t="str">
        <x:v>통합</x:v>
      </x:c>
      <x:c r="D52" s="101" t="str">
        <x:v>통합사회2</x:v>
      </x:c>
      <x:c r="E52" s="127"/>
      <x:c r="F52" s="128"/>
      <x:c r="G52" s="134"/>
      <x:c r="H52" s="128" t="n">
        <x:f>'기존안 과목내역'!I128</x:f>
        <x:v>4</x:v>
      </x:c>
      <x:c r="I52" s="128" t="n">
        <x:f>'공통융합 배정'!O33</x:f>
        <x:v>6</x:v>
      </x:c>
      <x:c r="J52" s="134" t="n">
        <x:f>'공통융합 배정'!P33</x:f>
        <x:v>24</x:v>
      </x:c>
      <x:c r="K52" s="128"/>
      <x:c r="L52" s="128"/>
      <x:c r="M52" s="134"/>
      <x:c r="N52" s="128"/>
      <x:c r="O52" s="128"/>
      <x:c r="P52" s="134"/>
      <x:c r="Q52" s="128"/>
      <x:c r="R52" s="128"/>
      <x:c r="S52" s="134"/>
      <x:c r="T52" s="128"/>
      <x:c r="U52" s="128"/>
      <x:c r="V52" s="137"/>
      <x:c r="W52" s="78"/>
      <x:c r="X52" s="78"/>
      <x:c r="Y52" s="78"/>
      <x:c r="Z52" s="78"/>
      <x:c r="AA52" s="78"/>
      <x:c r="AB52" s="78"/>
      <x:c r="AC52" s="78"/>
      <x:c r="AD52" s="78"/>
      <x:c r="AE52" s="78"/>
    </x:row>
    <x:row r="53" ht="24" customHeight="1">
      <x:c r="A53" s="78"/>
      <x:c r="B53" s="103"/>
      <x:c r="C53" s="105" t="str">
        <x:v>융합</x:v>
      </x:c>
      <x:c r="D53" s="101" t="str">
        <x:v>사회문제 탐구</x:v>
      </x:c>
      <x:c r="E53" s="127"/>
      <x:c r="F53" s="128"/>
      <x:c r="G53" s="134"/>
      <x:c r="H53" s="128"/>
      <x:c r="I53" s="128"/>
      <x:c r="J53" s="134"/>
      <x:c r="K53" s="128"/>
      <x:c r="L53" s="128"/>
      <x:c r="M53" s="134"/>
      <x:c r="N53" s="128"/>
      <x:c r="O53" s="128"/>
      <x:c r="P53" s="134"/>
      <x:c r="Q53" s="128"/>
      <x:c r="R53" s="128"/>
      <x:c r="S53" s="134"/>
      <x:c r="T53" s="128" t="n">
        <x:f>'기존안 과목내역'!I141</x:f>
        <x:v>3</x:v>
      </x:c>
      <x:c r="U53" s="128" t="n">
        <x:f>'공통융합 배정'!O34</x:f>
        <x:v>0</x:v>
      </x:c>
      <x:c r="V53" s="137" t="n">
        <x:f>'공통융합 배정'!P34</x:f>
        <x:v>0</x:v>
      </x:c>
      <x:c r="W53" s="78"/>
      <x:c r="X53" s="78"/>
      <x:c r="Y53" s="78"/>
      <x:c r="Z53" s="78"/>
      <x:c r="AA53" s="78"/>
      <x:c r="AB53" s="78"/>
      <x:c r="AC53" s="78"/>
      <x:c r="AD53" s="78"/>
      <x:c r="AE53" s="78"/>
    </x:row>
    <x:row r="54" ht="24" customHeight="1">
      <x:c r="A54" s="78"/>
      <x:c r="B54" s="103"/>
      <x:c r="C54" s="105" t="str">
        <x:v>융합</x:v>
      </x:c>
      <x:c r="D54" s="101" t="str">
        <x:v>여행지리</x:v>
      </x:c>
      <x:c r="E54" s="127"/>
      <x:c r="F54" s="128"/>
      <x:c r="G54" s="134"/>
      <x:c r="H54" s="128"/>
      <x:c r="I54" s="128"/>
      <x:c r="J54" s="134"/>
      <x:c r="K54" s="128"/>
      <x:c r="L54" s="128"/>
      <x:c r="M54" s="134"/>
      <x:c r="N54" s="128"/>
      <x:c r="O54" s="128"/>
      <x:c r="P54" s="134"/>
      <x:c r="Q54" s="128"/>
      <x:c r="R54" s="128"/>
      <x:c r="S54" s="134"/>
      <x:c r="T54" s="128" t="n">
        <x:f>'기존안 과목내역'!I142</x:f>
        <x:v>3</x:v>
      </x:c>
      <x:c r="U54" s="128" t="n">
        <x:f>'공통융합 배정'!O35</x:f>
        <x:v>0</x:v>
      </x:c>
      <x:c r="V54" s="137" t="n">
        <x:f>'공통융합 배정'!P35</x:f>
        <x:v>0</x:v>
      </x:c>
      <x:c r="W54" s="78"/>
      <x:c r="X54" s="78"/>
      <x:c r="Y54" s="78"/>
      <x:c r="Z54" s="78"/>
      <x:c r="AA54" s="78"/>
      <x:c r="AB54" s="78"/>
      <x:c r="AC54" s="78"/>
      <x:c r="AD54" s="78"/>
      <x:c r="AE54" s="78"/>
    </x:row>
    <x:row r="55" ht="24" customHeight="1">
      <x:c r="A55" s="78"/>
      <x:c r="B55" s="103"/>
      <x:c r="C55" s="105" t="str">
        <x:v>융합</x:v>
      </x:c>
      <x:c r="D55" s="101" t="str">
        <x:v>윤리문제 탐구</x:v>
      </x:c>
      <x:c r="E55" s="130"/>
      <x:c r="F55" s="131"/>
      <x:c r="G55" s="135"/>
      <x:c r="H55" s="131"/>
      <x:c r="I55" s="131"/>
      <x:c r="J55" s="135"/>
      <x:c r="K55" s="131"/>
      <x:c r="L55" s="131"/>
      <x:c r="M55" s="135"/>
      <x:c r="N55" s="131"/>
      <x:c r="O55" s="131"/>
      <x:c r="P55" s="135"/>
      <x:c r="Q55" s="131"/>
      <x:c r="R55" s="131"/>
      <x:c r="S55" s="135"/>
      <x:c r="T55" s="131" t="n">
        <x:f>'기존안 과목내역'!I143</x:f>
        <x:v>3</x:v>
      </x:c>
      <x:c r="U55" s="131" t="n">
        <x:f>'공통융합 배정'!O36</x:f>
        <x:v>4</x:v>
      </x:c>
      <x:c r="V55" s="138" t="n">
        <x:f>'공통융합 배정'!P36</x:f>
        <x:v>12</x:v>
      </x:c>
      <x:c r="W55" s="78"/>
      <x:c r="X55" s="78"/>
      <x:c r="Y55" s="78"/>
      <x:c r="Z55" s="78"/>
      <x:c r="AA55" s="78"/>
      <x:c r="AB55" s="78"/>
      <x:c r="AC55" s="78"/>
      <x:c r="AD55" s="78"/>
      <x:c r="AE55" s="78"/>
    </x:row>
    <x:row r="56" ht="30" customHeight="1">
      <x:c r="A56" s="78"/>
      <x:c r="B56" s="141" t="str">
        <x:v>물리학 합계</x:v>
      </x:c>
      <x:c r="C56" s="141"/>
      <x:c r="D56" s="141"/>
      <x:c r="E56" s="141"/>
      <x:c r="F56" s="141"/>
      <x:c r="G56" s="141" t="n">
        <x:f>SUM(G60,G61)</x:f>
        <x:v>9</x:v>
      </x:c>
      <x:c r="H56" s="141"/>
      <x:c r="I56" s="141"/>
      <x:c r="J56" s="141" t="n">
        <x:f>SUM(J62,J63)</x:f>
        <x:v>15</x:v>
      </x:c>
      <x:c r="K56" s="141"/>
      <x:c r="L56" s="141"/>
      <x:c r="M56" s="141" t="n">
        <x:f>SUM(M57)</x:f>
        <x:v>12</x:v>
      </x:c>
      <x:c r="N56" s="141"/>
      <x:c r="O56" s="141"/>
      <x:c r="P56" s="141" t="n">
        <x:f>SUM(P59)</x:f>
        <x:v>12</x:v>
      </x:c>
      <x:c r="Q56" s="141"/>
      <x:c r="R56" s="141"/>
      <x:c r="S56" s="141" t="n">
        <x:f>SUM(S58)</x:f>
        <x:v>9</x:v>
      </x:c>
      <x:c r="T56" s="141"/>
      <x:c r="U56" s="141"/>
      <x:c r="V56" s="141" t="n">
        <x:f>SUM(V64,V65,V66)</x:f>
        <x:v>9</x:v>
      </x:c>
      <x:c r="W56" s="141" t="n">
        <x:f>IF(ISNUMBER('산정근거'!C14),'산정근거'!C14,"미정")</x:f>
        <x:v>2</x:v>
      </x:c>
      <x:c r="X56" s="143" t="n">
        <x:f>SUM(M57,S58)</x:f>
        <x:v>21</x:v>
      </x:c>
      <x:c r="Y56" s="143" t="n">
        <x:f>SUM(G60,G61)</x:f>
        <x:v>9</x:v>
      </x:c>
      <x:c r="Z56" s="143" t="n">
        <x:f>X56+Y56</x:f>
        <x:v>30</x:v>
      </x:c>
      <x:c r="AA56" s="144" t="n">
        <x:f>IF(OR(NOT(ISNUMBER(W56)),W56&lt;=0),"미정",Z56/W56)</x:f>
        <x:v>15</x:v>
      </x:c>
      <x:c r="AB56" s="143" t="n">
        <x:f>SUM(P59)</x:f>
        <x:v>12</x:v>
      </x:c>
      <x:c r="AC56" s="143" t="n">
        <x:f>SUM(J62,J63,V64,V65,V66)</x:f>
        <x:v>24</x:v>
      </x:c>
      <x:c r="AD56" s="143" t="n">
        <x:f>AB56+AC56</x:f>
        <x:v>36</x:v>
      </x:c>
      <x:c r="AE56" s="144" t="n">
        <x:f>IF(OR(NOT(ISNUMBER(W56)),W56&lt;=0),"미정",AD56/W56)</x:f>
        <x:v>18</x:v>
      </x:c>
    </x:row>
    <x:row r="57" ht="24" customHeight="1">
      <x:c r="A57" s="78"/>
      <x:c r="B57" s="103" t="str">
        <x:v>물리</x:v>
      </x:c>
      <x:c r="C57" s="104" t="str">
        <x:v>자체</x:v>
      </x:c>
      <x:c r="D57" s="81" t="str">
        <x:v>물리학</x:v>
      </x:c>
      <x:c r="E57" s="124"/>
      <x:c r="F57" s="125"/>
      <x:c r="G57" s="133"/>
      <x:c r="H57" s="125"/>
      <x:c r="I57" s="125"/>
      <x:c r="J57" s="133"/>
      <x:c r="K57" s="125" t="n">
        <x:f>'기존안 과목내역'!I114</x:f>
        <x:v>3</x:v>
      </x:c>
      <x:c r="L57" s="125" t="n">
        <x:f>'기존안 과목내역'!J114</x:f>
        <x:v>4</x:v>
      </x:c>
      <x:c r="M57" s="133" t="n">
        <x:f>K57*L57</x:f>
        <x:v>12</x:v>
      </x:c>
      <x:c r="N57" s="125"/>
      <x:c r="O57" s="125"/>
      <x:c r="P57" s="133"/>
      <x:c r="Q57" s="125"/>
      <x:c r="R57" s="125"/>
      <x:c r="S57" s="133"/>
      <x:c r="T57" s="125"/>
      <x:c r="U57" s="125"/>
      <x:c r="V57" s="136"/>
      <x:c r="W57" s="78"/>
      <x:c r="X57" s="78"/>
      <x:c r="Y57" s="78"/>
      <x:c r="Z57" s="78"/>
      <x:c r="AA57" s="78"/>
      <x:c r="AB57" s="78"/>
      <x:c r="AC57" s="78"/>
      <x:c r="AD57" s="78"/>
      <x:c r="AE57" s="78"/>
    </x:row>
    <x:row r="58" ht="24" customHeight="1">
      <x:c r="A58" s="78"/>
      <x:c r="B58" s="103"/>
      <x:c r="C58" s="104" t="str">
        <x:v>자체</x:v>
      </x:c>
      <x:c r="D58" s="81" t="str">
        <x:v>전자기와 양자</x:v>
      </x:c>
      <x:c r="E58" s="127"/>
      <x:c r="F58" s="128"/>
      <x:c r="G58" s="134"/>
      <x:c r="H58" s="128"/>
      <x:c r="I58" s="128"/>
      <x:c r="J58" s="134"/>
      <x:c r="K58" s="128"/>
      <x:c r="L58" s="128"/>
      <x:c r="M58" s="134"/>
      <x:c r="N58" s="128"/>
      <x:c r="O58" s="128"/>
      <x:c r="P58" s="134"/>
      <x:c r="Q58" s="128" t="n">
        <x:f>'기존안 과목내역'!I125</x:f>
        <x:v>3</x:v>
      </x:c>
      <x:c r="R58" s="128" t="n">
        <x:f>'기존안 과목내역'!J125</x:f>
        <x:v>3</x:v>
      </x:c>
      <x:c r="S58" s="134" t="n">
        <x:f>Q58*R58</x:f>
        <x:v>9</x:v>
      </x:c>
      <x:c r="T58" s="128"/>
      <x:c r="U58" s="128"/>
      <x:c r="V58" s="137"/>
      <x:c r="W58" s="78"/>
      <x:c r="X58" s="78"/>
      <x:c r="Y58" s="78"/>
      <x:c r="Z58" s="78"/>
      <x:c r="AA58" s="78"/>
      <x:c r="AB58" s="78"/>
      <x:c r="AC58" s="78"/>
      <x:c r="AD58" s="78"/>
      <x:c r="AE58" s="78"/>
    </x:row>
    <x:row r="59" ht="24" customHeight="1">
      <x:c r="A59" s="78"/>
      <x:c r="B59" s="103"/>
      <x:c r="C59" s="104" t="str">
        <x:v>자체</x:v>
      </x:c>
      <x:c r="D59" s="81" t="str">
        <x:v>역학과 에너지</x:v>
      </x:c>
      <x:c r="E59" s="127"/>
      <x:c r="F59" s="128"/>
      <x:c r="G59" s="134"/>
      <x:c r="H59" s="128"/>
      <x:c r="I59" s="128"/>
      <x:c r="J59" s="134"/>
      <x:c r="K59" s="128"/>
      <x:c r="L59" s="128"/>
      <x:c r="M59" s="134"/>
      <x:c r="N59" s="128" t="n">
        <x:f>'기존안 과목내역'!I138</x:f>
        <x:v>3</x:v>
      </x:c>
      <x:c r="O59" s="128" t="n">
        <x:f>'기존안 과목내역'!J138</x:f>
        <x:v>4</x:v>
      </x:c>
      <x:c r="P59" s="134" t="n">
        <x:f>N59*O59</x:f>
        <x:v>12</x:v>
      </x:c>
      <x:c r="Q59" s="128"/>
      <x:c r="R59" s="128"/>
      <x:c r="S59" s="134"/>
      <x:c r="T59" s="128"/>
      <x:c r="U59" s="128"/>
      <x:c r="V59" s="137"/>
      <x:c r="W59" s="78"/>
      <x:c r="X59" s="78"/>
      <x:c r="Y59" s="78"/>
      <x:c r="Z59" s="78"/>
      <x:c r="AA59" s="78"/>
      <x:c r="AB59" s="78"/>
      <x:c r="AC59" s="78"/>
      <x:c r="AD59" s="78"/>
      <x:c r="AE59" s="78"/>
    </x:row>
    <x:row r="60" ht="24" customHeight="1">
      <x:c r="A60" s="78"/>
      <x:c r="B60" s="103"/>
      <x:c r="C60" s="105" t="str">
        <x:v>통합</x:v>
      </x:c>
      <x:c r="D60" s="101" t="str">
        <x:v>통합과학1</x:v>
      </x:c>
      <x:c r="E60" s="127" t="n">
        <x:f>'기존안 과목내역'!I108</x:f>
        <x:v>4</x:v>
      </x:c>
      <x:c r="F60" s="128" t="n">
        <x:f>'공통융합 배정'!I55</x:f>
        <x:v>2</x:v>
      </x:c>
      <x:c r="G60" s="134" t="n">
        <x:f>'공통융합 배정'!J55</x:f>
        <x:v>8</x:v>
      </x:c>
      <x:c r="H60" s="128"/>
      <x:c r="I60" s="128"/>
      <x:c r="J60" s="134"/>
      <x:c r="K60" s="128"/>
      <x:c r="L60" s="128"/>
      <x:c r="M60" s="134"/>
      <x:c r="N60" s="128"/>
      <x:c r="O60" s="128"/>
      <x:c r="P60" s="134"/>
      <x:c r="Q60" s="128"/>
      <x:c r="R60" s="128"/>
      <x:c r="S60" s="134"/>
      <x:c r="T60" s="128"/>
      <x:c r="U60" s="128"/>
      <x:c r="V60" s="137"/>
      <x:c r="W60" s="78"/>
      <x:c r="X60" s="78"/>
      <x:c r="Y60" s="78"/>
      <x:c r="Z60" s="78"/>
      <x:c r="AA60" s="78"/>
      <x:c r="AB60" s="78"/>
      <x:c r="AC60" s="78"/>
      <x:c r="AD60" s="78"/>
      <x:c r="AE60" s="78"/>
    </x:row>
    <x:row r="61" ht="24" customHeight="1">
      <x:c r="A61" s="78"/>
      <x:c r="B61" s="103"/>
      <x:c r="C61" s="105" t="str">
        <x:v>실험</x:v>
      </x:c>
      <x:c r="D61" s="101" t="str">
        <x:v>과학탐구실험1</x:v>
      </x:c>
      <x:c r="E61" s="127" t="n">
        <x:f>'기존안 과목내역'!I109</x:f>
        <x:v>1</x:v>
      </x:c>
      <x:c r="F61" s="128" t="n">
        <x:f>'공통융합 배정'!I56</x:f>
        <x:v>1</x:v>
      </x:c>
      <x:c r="G61" s="134" t="n">
        <x:f>'공통융합 배정'!J56</x:f>
        <x:v>1</x:v>
      </x:c>
      <x:c r="H61" s="128"/>
      <x:c r="I61" s="128"/>
      <x:c r="J61" s="134"/>
      <x:c r="K61" s="128"/>
      <x:c r="L61" s="128"/>
      <x:c r="M61" s="134"/>
      <x:c r="N61" s="128"/>
      <x:c r="O61" s="128"/>
      <x:c r="P61" s="134"/>
      <x:c r="Q61" s="128"/>
      <x:c r="R61" s="128"/>
      <x:c r="S61" s="134"/>
      <x:c r="T61" s="128"/>
      <x:c r="U61" s="128"/>
      <x:c r="V61" s="137"/>
      <x:c r="W61" s="78"/>
      <x:c r="X61" s="78"/>
      <x:c r="Y61" s="78"/>
      <x:c r="Z61" s="78"/>
      <x:c r="AA61" s="78"/>
      <x:c r="AB61" s="78"/>
      <x:c r="AC61" s="78"/>
      <x:c r="AD61" s="78"/>
      <x:c r="AE61" s="78"/>
    </x:row>
    <x:row r="62" ht="24" customHeight="1">
      <x:c r="A62" s="78"/>
      <x:c r="B62" s="103"/>
      <x:c r="C62" s="105" t="str">
        <x:v>통합</x:v>
      </x:c>
      <x:c r="D62" s="101" t="str">
        <x:v>통합과학2</x:v>
      </x:c>
      <x:c r="E62" s="127"/>
      <x:c r="F62" s="128"/>
      <x:c r="G62" s="134"/>
      <x:c r="H62" s="128" t="n">
        <x:f>'기존안 과목내역'!I129</x:f>
        <x:v>4</x:v>
      </x:c>
      <x:c r="I62" s="128" t="n">
        <x:f>'공통융합 배정'!I59</x:f>
        <x:v>3</x:v>
      </x:c>
      <x:c r="J62" s="134" t="n">
        <x:f>'공통융합 배정'!J59</x:f>
        <x:v>12</x:v>
      </x:c>
      <x:c r="K62" s="128"/>
      <x:c r="L62" s="128"/>
      <x:c r="M62" s="134"/>
      <x:c r="N62" s="128"/>
      <x:c r="O62" s="128"/>
      <x:c r="P62" s="134"/>
      <x:c r="Q62" s="128"/>
      <x:c r="R62" s="128"/>
      <x:c r="S62" s="134"/>
      <x:c r="T62" s="128"/>
      <x:c r="U62" s="128"/>
      <x:c r="V62" s="137"/>
      <x:c r="W62" s="78"/>
      <x:c r="X62" s="78"/>
      <x:c r="Y62" s="78"/>
      <x:c r="Z62" s="78"/>
      <x:c r="AA62" s="78"/>
      <x:c r="AB62" s="78"/>
      <x:c r="AC62" s="78"/>
      <x:c r="AD62" s="78"/>
      <x:c r="AE62" s="78"/>
    </x:row>
    <x:row r="63" ht="24" customHeight="1">
      <x:c r="A63" s="78"/>
      <x:c r="B63" s="103"/>
      <x:c r="C63" s="105" t="str">
        <x:v>실험</x:v>
      </x:c>
      <x:c r="D63" s="101" t="str">
        <x:v>과학탐구실험2</x:v>
      </x:c>
      <x:c r="E63" s="127"/>
      <x:c r="F63" s="128"/>
      <x:c r="G63" s="134"/>
      <x:c r="H63" s="128" t="n">
        <x:f>'기존안 과목내역'!I130</x:f>
        <x:v>1</x:v>
      </x:c>
      <x:c r="I63" s="128" t="n">
        <x:f>'공통융합 배정'!I60</x:f>
        <x:v>3</x:v>
      </x:c>
      <x:c r="J63" s="134" t="n">
        <x:f>'공통융합 배정'!J60</x:f>
        <x:v>3</x:v>
      </x:c>
      <x:c r="K63" s="128"/>
      <x:c r="L63" s="128"/>
      <x:c r="M63" s="134"/>
      <x:c r="N63" s="128"/>
      <x:c r="O63" s="128"/>
      <x:c r="P63" s="134"/>
      <x:c r="Q63" s="128"/>
      <x:c r="R63" s="128"/>
      <x:c r="S63" s="134"/>
      <x:c r="T63" s="128"/>
      <x:c r="U63" s="128"/>
      <x:c r="V63" s="137"/>
      <x:c r="W63" s="78"/>
      <x:c r="X63" s="78"/>
      <x:c r="Y63" s="78"/>
      <x:c r="Z63" s="78"/>
      <x:c r="AA63" s="78"/>
      <x:c r="AB63" s="78"/>
      <x:c r="AC63" s="78"/>
      <x:c r="AD63" s="78"/>
      <x:c r="AE63" s="78"/>
    </x:row>
    <x:row r="64" ht="24" customHeight="1">
      <x:c r="A64" s="78"/>
      <x:c r="B64" s="103"/>
      <x:c r="C64" s="105" t="str">
        <x:v>융합</x:v>
      </x:c>
      <x:c r="D64" s="101" t="str">
        <x:v>과학의 역사와 문화</x:v>
      </x:c>
      <x:c r="E64" s="127"/>
      <x:c r="F64" s="128"/>
      <x:c r="G64" s="134"/>
      <x:c r="H64" s="128"/>
      <x:c r="I64" s="128"/>
      <x:c r="J64" s="134"/>
      <x:c r="K64" s="128"/>
      <x:c r="L64" s="128"/>
      <x:c r="M64" s="134"/>
      <x:c r="N64" s="128"/>
      <x:c r="O64" s="128"/>
      <x:c r="P64" s="134"/>
      <x:c r="Q64" s="128"/>
      <x:c r="R64" s="128"/>
      <x:c r="S64" s="134"/>
      <x:c r="T64" s="128" t="n">
        <x:f>'기존안 과목내역'!I144</x:f>
        <x:v>3</x:v>
      </x:c>
      <x:c r="U64" s="128" t="n">
        <x:f>'공통융합 배정'!I61</x:f>
        <x:v>2</x:v>
      </x:c>
      <x:c r="V64" s="137" t="n">
        <x:f>'공통융합 배정'!J61</x:f>
        <x:v>6</x:v>
      </x:c>
      <x:c r="W64" s="78"/>
      <x:c r="X64" s="78"/>
      <x:c r="Y64" s="78"/>
      <x:c r="Z64" s="78"/>
      <x:c r="AA64" s="78"/>
      <x:c r="AB64" s="78"/>
      <x:c r="AC64" s="78"/>
      <x:c r="AD64" s="78"/>
      <x:c r="AE64" s="78"/>
    </x:row>
    <x:row r="65" ht="24" customHeight="1">
      <x:c r="A65" s="78"/>
      <x:c r="B65" s="103"/>
      <x:c r="C65" s="105" t="str">
        <x:v>융합</x:v>
      </x:c>
      <x:c r="D65" s="101" t="str">
        <x:v>기후변화와 환경생태</x:v>
      </x:c>
      <x:c r="E65" s="127"/>
      <x:c r="F65" s="128"/>
      <x:c r="G65" s="134"/>
      <x:c r="H65" s="128"/>
      <x:c r="I65" s="128"/>
      <x:c r="J65" s="134"/>
      <x:c r="K65" s="128"/>
      <x:c r="L65" s="128"/>
      <x:c r="M65" s="134"/>
      <x:c r="N65" s="128"/>
      <x:c r="O65" s="128"/>
      <x:c r="P65" s="134"/>
      <x:c r="Q65" s="128"/>
      <x:c r="R65" s="128"/>
      <x:c r="S65" s="134"/>
      <x:c r="T65" s="128" t="n">
        <x:f>'기존안 과목내역'!I145</x:f>
        <x:v>3</x:v>
      </x:c>
      <x:c r="U65" s="128" t="n">
        <x:f>'공통융합 배정'!I62</x:f>
        <x:v>0</x:v>
      </x:c>
      <x:c r="V65" s="137" t="n">
        <x:f>'공통융합 배정'!J62</x:f>
        <x:v>0</x:v>
      </x:c>
      <x:c r="W65" s="78"/>
      <x:c r="X65" s="78"/>
      <x:c r="Y65" s="78"/>
      <x:c r="Z65" s="78"/>
      <x:c r="AA65" s="78"/>
      <x:c r="AB65" s="78"/>
      <x:c r="AC65" s="78"/>
      <x:c r="AD65" s="78"/>
      <x:c r="AE65" s="78"/>
    </x:row>
    <x:row r="66" ht="24" customHeight="1">
      <x:c r="A66" s="78"/>
      <x:c r="B66" s="103"/>
      <x:c r="C66" s="105" t="str">
        <x:v>융합</x:v>
      </x:c>
      <x:c r="D66" s="101" t="str">
        <x:v>융합과학 탐구</x:v>
      </x:c>
      <x:c r="E66" s="130"/>
      <x:c r="F66" s="131"/>
      <x:c r="G66" s="135"/>
      <x:c r="H66" s="131"/>
      <x:c r="I66" s="131"/>
      <x:c r="J66" s="135"/>
      <x:c r="K66" s="131"/>
      <x:c r="L66" s="131"/>
      <x:c r="M66" s="135"/>
      <x:c r="N66" s="131"/>
      <x:c r="O66" s="131"/>
      <x:c r="P66" s="135"/>
      <x:c r="Q66" s="131"/>
      <x:c r="R66" s="131"/>
      <x:c r="S66" s="135"/>
      <x:c r="T66" s="131" t="n">
        <x:f>'기존안 과목내역'!I146</x:f>
        <x:v>3</x:v>
      </x:c>
      <x:c r="U66" s="131" t="n">
        <x:f>'공통융합 배정'!I63</x:f>
        <x:v>1</x:v>
      </x:c>
      <x:c r="V66" s="138" t="n">
        <x:f>'공통융합 배정'!J63</x:f>
        <x:v>3</x:v>
      </x:c>
      <x:c r="W66" s="78"/>
      <x:c r="X66" s="78"/>
      <x:c r="Y66" s="78"/>
      <x:c r="Z66" s="78"/>
      <x:c r="AA66" s="78"/>
      <x:c r="AB66" s="78"/>
      <x:c r="AC66" s="78"/>
      <x:c r="AD66" s="78"/>
      <x:c r="AE66" s="78"/>
    </x:row>
    <x:row r="67" ht="30" customHeight="1">
      <x:c r="A67" s="78"/>
      <x:c r="B67" s="141" t="str">
        <x:v>화학 합계</x:v>
      </x:c>
      <x:c r="C67" s="141"/>
      <x:c r="D67" s="141"/>
      <x:c r="E67" s="141"/>
      <x:c r="F67" s="141"/>
      <x:c r="G67" s="141" t="n">
        <x:f>SUM(G71,G72)</x:f>
        <x:v>6</x:v>
      </x:c>
      <x:c r="H67" s="141"/>
      <x:c r="I67" s="141"/>
      <x:c r="J67" s="141" t="n">
        <x:f>SUM(J73,J74)</x:f>
        <x:v>21</x:v>
      </x:c>
      <x:c r="K67" s="141"/>
      <x:c r="L67" s="141"/>
      <x:c r="M67" s="141" t="n">
        <x:f>SUM(M68)</x:f>
        <x:v>15</x:v>
      </x:c>
      <x:c r="N67" s="141"/>
      <x:c r="O67" s="141"/>
      <x:c r="P67" s="141" t="n">
        <x:f>SUM(P70)</x:f>
        <x:v>15</x:v>
      </x:c>
      <x:c r="Q67" s="141"/>
      <x:c r="R67" s="141"/>
      <x:c r="S67" s="141" t="n">
        <x:f>SUM(S69)</x:f>
        <x:v>24</x:v>
      </x:c>
      <x:c r="T67" s="141"/>
      <x:c r="U67" s="141"/>
      <x:c r="V67" s="141" t="n">
        <x:f>SUM(V75,V76,V77)</x:f>
        <x:v>18</x:v>
      </x:c>
      <x:c r="W67" s="141" t="n">
        <x:f>IF(ISNUMBER('산정근거'!C15),'산정근거'!C15,"미정")</x:f>
        <x:v>3</x:v>
      </x:c>
      <x:c r="X67" s="143" t="n">
        <x:f>SUM(M68,S69)</x:f>
        <x:v>39</x:v>
      </x:c>
      <x:c r="Y67" s="143" t="n">
        <x:f>SUM(G71,G72)</x:f>
        <x:v>6</x:v>
      </x:c>
      <x:c r="Z67" s="143" t="n">
        <x:f>X67+Y67</x:f>
        <x:v>45</x:v>
      </x:c>
      <x:c r="AA67" s="144" t="n">
        <x:f>IF(OR(NOT(ISNUMBER(W67)),W67&lt;=0),"미정",Z67/W67)</x:f>
        <x:v>15</x:v>
      </x:c>
      <x:c r="AB67" s="143" t="n">
        <x:f>SUM(P70)</x:f>
        <x:v>15</x:v>
      </x:c>
      <x:c r="AC67" s="143" t="n">
        <x:f>SUM(J73,J74,V75,V76,V77)</x:f>
        <x:v>39</x:v>
      </x:c>
      <x:c r="AD67" s="143" t="n">
        <x:f>AB67+AC67</x:f>
        <x:v>54</x:v>
      </x:c>
      <x:c r="AE67" s="144" t="n">
        <x:f>IF(OR(NOT(ISNUMBER(W67)),W67&lt;=0),"미정",AD67/W67)</x:f>
        <x:v>18</x:v>
      </x:c>
    </x:row>
    <x:row r="68" ht="24" customHeight="1">
      <x:c r="A68" s="78"/>
      <x:c r="B68" s="103" t="str">
        <x:v>화학</x:v>
      </x:c>
      <x:c r="C68" s="104" t="str">
        <x:v>자체</x:v>
      </x:c>
      <x:c r="D68" s="81" t="str">
        <x:v>화학</x:v>
      </x:c>
      <x:c r="E68" s="124"/>
      <x:c r="F68" s="125"/>
      <x:c r="G68" s="133"/>
      <x:c r="H68" s="125"/>
      <x:c r="I68" s="125"/>
      <x:c r="J68" s="133"/>
      <x:c r="K68" s="125" t="n">
        <x:f>'기존안 과목내역'!I117</x:f>
        <x:v>3</x:v>
      </x:c>
      <x:c r="L68" s="125" t="n">
        <x:f>'기존안 과목내역'!J117</x:f>
        <x:v>5</x:v>
      </x:c>
      <x:c r="M68" s="133" t="n">
        <x:f>K68*L68</x:f>
        <x:v>15</x:v>
      </x:c>
      <x:c r="N68" s="125"/>
      <x:c r="O68" s="125"/>
      <x:c r="P68" s="133"/>
      <x:c r="Q68" s="125"/>
      <x:c r="R68" s="125"/>
      <x:c r="S68" s="133"/>
      <x:c r="T68" s="125"/>
      <x:c r="U68" s="125"/>
      <x:c r="V68" s="136"/>
      <x:c r="W68" s="78"/>
      <x:c r="X68" s="78"/>
      <x:c r="Y68" s="78"/>
      <x:c r="Z68" s="78"/>
      <x:c r="AA68" s="78"/>
      <x:c r="AB68" s="78"/>
      <x:c r="AC68" s="78"/>
      <x:c r="AD68" s="78"/>
      <x:c r="AE68" s="78"/>
    </x:row>
    <x:row r="69" ht="24" customHeight="1">
      <x:c r="A69" s="78"/>
      <x:c r="B69" s="103"/>
      <x:c r="C69" s="104" t="str">
        <x:v>자체</x:v>
      </x:c>
      <x:c r="D69" s="81" t="str">
        <x:v>물질과 에너지</x:v>
      </x:c>
      <x:c r="E69" s="127"/>
      <x:c r="F69" s="128"/>
      <x:c r="G69" s="134"/>
      <x:c r="H69" s="128"/>
      <x:c r="I69" s="128"/>
      <x:c r="J69" s="134"/>
      <x:c r="K69" s="128"/>
      <x:c r="L69" s="128"/>
      <x:c r="M69" s="134"/>
      <x:c r="N69" s="128"/>
      <x:c r="O69" s="128"/>
      <x:c r="P69" s="134"/>
      <x:c r="Q69" s="128" t="n">
        <x:f>'기존안 과목내역'!I123</x:f>
        <x:v>3</x:v>
      </x:c>
      <x:c r="R69" s="128" t="n">
        <x:f>'기존안 과목내역'!J123</x:f>
        <x:v>8</x:v>
      </x:c>
      <x:c r="S69" s="134" t="n">
        <x:f>Q69*R69</x:f>
        <x:v>24</x:v>
      </x:c>
      <x:c r="T69" s="128"/>
      <x:c r="U69" s="128"/>
      <x:c r="V69" s="137"/>
      <x:c r="W69" s="78"/>
      <x:c r="X69" s="78"/>
      <x:c r="Y69" s="78"/>
      <x:c r="Z69" s="78"/>
      <x:c r="AA69" s="78"/>
      <x:c r="AB69" s="78"/>
      <x:c r="AC69" s="78"/>
      <x:c r="AD69" s="78"/>
      <x:c r="AE69" s="78"/>
    </x:row>
    <x:row r="70" ht="24" customHeight="1">
      <x:c r="A70" s="78"/>
      <x:c r="B70" s="103"/>
      <x:c r="C70" s="104" t="str">
        <x:v>자체</x:v>
      </x:c>
      <x:c r="D70" s="81" t="str">
        <x:v>화학 반응의 세계</x:v>
      </x:c>
      <x:c r="E70" s="127"/>
      <x:c r="F70" s="128"/>
      <x:c r="G70" s="134"/>
      <x:c r="H70" s="128"/>
      <x:c r="I70" s="128"/>
      <x:c r="J70" s="134"/>
      <x:c r="K70" s="128"/>
      <x:c r="L70" s="128"/>
      <x:c r="M70" s="134"/>
      <x:c r="N70" s="128" t="n">
        <x:f>'기존안 과목내역'!I140</x:f>
        <x:v>3</x:v>
      </x:c>
      <x:c r="O70" s="128" t="n">
        <x:f>'기존안 과목내역'!J140</x:f>
        <x:v>5</x:v>
      </x:c>
      <x:c r="P70" s="134" t="n">
        <x:f>N70*O70</x:f>
        <x:v>15</x:v>
      </x:c>
      <x:c r="Q70" s="128"/>
      <x:c r="R70" s="128"/>
      <x:c r="S70" s="134"/>
      <x:c r="T70" s="128"/>
      <x:c r="U70" s="128"/>
      <x:c r="V70" s="137"/>
      <x:c r="W70" s="78"/>
      <x:c r="X70" s="78"/>
      <x:c r="Y70" s="78"/>
      <x:c r="Z70" s="78"/>
      <x:c r="AA70" s="78"/>
      <x:c r="AB70" s="78"/>
      <x:c r="AC70" s="78"/>
      <x:c r="AD70" s="78"/>
      <x:c r="AE70" s="78"/>
    </x:row>
    <x:row r="71" ht="24" customHeight="1">
      <x:c r="A71" s="78"/>
      <x:c r="B71" s="103"/>
      <x:c r="C71" s="105" t="str">
        <x:v>통합</x:v>
      </x:c>
      <x:c r="D71" s="101" t="str">
        <x:v>통합과학1</x:v>
      </x:c>
      <x:c r="E71" s="127" t="n">
        <x:f>'기존안 과목내역'!I108</x:f>
        <x:v>4</x:v>
      </x:c>
      <x:c r="F71" s="128" t="n">
        <x:f>'공통융합 배정'!K55</x:f>
        <x:v>1</x:v>
      </x:c>
      <x:c r="G71" s="134" t="n">
        <x:f>'공통융합 배정'!L55</x:f>
        <x:v>4</x:v>
      </x:c>
      <x:c r="H71" s="128"/>
      <x:c r="I71" s="128"/>
      <x:c r="J71" s="134"/>
      <x:c r="K71" s="128"/>
      <x:c r="L71" s="128"/>
      <x:c r="M71" s="134"/>
      <x:c r="N71" s="128"/>
      <x:c r="O71" s="128"/>
      <x:c r="P71" s="134"/>
      <x:c r="Q71" s="128"/>
      <x:c r="R71" s="128"/>
      <x:c r="S71" s="134"/>
      <x:c r="T71" s="128"/>
      <x:c r="U71" s="128"/>
      <x:c r="V71" s="137"/>
      <x:c r="W71" s="78"/>
      <x:c r="X71" s="78"/>
      <x:c r="Y71" s="78"/>
      <x:c r="Z71" s="78"/>
      <x:c r="AA71" s="78"/>
      <x:c r="AB71" s="78"/>
      <x:c r="AC71" s="78"/>
      <x:c r="AD71" s="78"/>
      <x:c r="AE71" s="78"/>
    </x:row>
    <x:row r="72" ht="24" customHeight="1">
      <x:c r="A72" s="78"/>
      <x:c r="B72" s="103"/>
      <x:c r="C72" s="105" t="str">
        <x:v>실험</x:v>
      </x:c>
      <x:c r="D72" s="101" t="str">
        <x:v>과학탐구실험1</x:v>
      </x:c>
      <x:c r="E72" s="127" t="n">
        <x:f>'기존안 과목내역'!I109</x:f>
        <x:v>1</x:v>
      </x:c>
      <x:c r="F72" s="128" t="n">
        <x:f>'공통융합 배정'!K56</x:f>
        <x:v>2</x:v>
      </x:c>
      <x:c r="G72" s="134" t="n">
        <x:f>'공통융합 배정'!L56</x:f>
        <x:v>2</x:v>
      </x:c>
      <x:c r="H72" s="128"/>
      <x:c r="I72" s="128"/>
      <x:c r="J72" s="134"/>
      <x:c r="K72" s="128"/>
      <x:c r="L72" s="128"/>
      <x:c r="M72" s="134"/>
      <x:c r="N72" s="128"/>
      <x:c r="O72" s="128"/>
      <x:c r="P72" s="134"/>
      <x:c r="Q72" s="128"/>
      <x:c r="R72" s="128"/>
      <x:c r="S72" s="134"/>
      <x:c r="T72" s="128"/>
      <x:c r="U72" s="128"/>
      <x:c r="V72" s="137"/>
      <x:c r="W72" s="78"/>
      <x:c r="X72" s="78"/>
      <x:c r="Y72" s="78"/>
      <x:c r="Z72" s="78"/>
      <x:c r="AA72" s="78"/>
      <x:c r="AB72" s="78"/>
      <x:c r="AC72" s="78"/>
      <x:c r="AD72" s="78"/>
      <x:c r="AE72" s="78"/>
    </x:row>
    <x:row r="73" ht="24" customHeight="1">
      <x:c r="A73" s="78"/>
      <x:c r="B73" s="103"/>
      <x:c r="C73" s="105" t="str">
        <x:v>통합</x:v>
      </x:c>
      <x:c r="D73" s="101" t="str">
        <x:v>통합과학2</x:v>
      </x:c>
      <x:c r="E73" s="127"/>
      <x:c r="F73" s="128"/>
      <x:c r="G73" s="134"/>
      <x:c r="H73" s="128" t="n">
        <x:f>'기존안 과목내역'!I129</x:f>
        <x:v>4</x:v>
      </x:c>
      <x:c r="I73" s="128" t="n">
        <x:f>'공통융합 배정'!K59</x:f>
        <x:v>5</x:v>
      </x:c>
      <x:c r="J73" s="134" t="n">
        <x:f>'공통융합 배정'!L59</x:f>
        <x:v>20</x:v>
      </x:c>
      <x:c r="K73" s="128"/>
      <x:c r="L73" s="128"/>
      <x:c r="M73" s="134"/>
      <x:c r="N73" s="128"/>
      <x:c r="O73" s="128"/>
      <x:c r="P73" s="134"/>
      <x:c r="Q73" s="128"/>
      <x:c r="R73" s="128"/>
      <x:c r="S73" s="134"/>
      <x:c r="T73" s="128"/>
      <x:c r="U73" s="128"/>
      <x:c r="V73" s="137"/>
      <x:c r="W73" s="78"/>
      <x:c r="X73" s="78"/>
      <x:c r="Y73" s="78"/>
      <x:c r="Z73" s="78"/>
      <x:c r="AA73" s="78"/>
      <x:c r="AB73" s="78"/>
      <x:c r="AC73" s="78"/>
      <x:c r="AD73" s="78"/>
      <x:c r="AE73" s="78"/>
    </x:row>
    <x:row r="74" ht="24" customHeight="1">
      <x:c r="A74" s="78"/>
      <x:c r="B74" s="103"/>
      <x:c r="C74" s="105" t="str">
        <x:v>실험</x:v>
      </x:c>
      <x:c r="D74" s="101" t="str">
        <x:v>과학탐구실험2</x:v>
      </x:c>
      <x:c r="E74" s="127"/>
      <x:c r="F74" s="128"/>
      <x:c r="G74" s="134"/>
      <x:c r="H74" s="128" t="n">
        <x:f>'기존안 과목내역'!I130</x:f>
        <x:v>1</x:v>
      </x:c>
      <x:c r="I74" s="128" t="n">
        <x:f>'공통융합 배정'!K60</x:f>
        <x:v>1</x:v>
      </x:c>
      <x:c r="J74" s="134" t="n">
        <x:f>'공통융합 배정'!L60</x:f>
        <x:v>1</x:v>
      </x:c>
      <x:c r="K74" s="128"/>
      <x:c r="L74" s="128"/>
      <x:c r="M74" s="134"/>
      <x:c r="N74" s="128"/>
      <x:c r="O74" s="128"/>
      <x:c r="P74" s="134"/>
      <x:c r="Q74" s="128"/>
      <x:c r="R74" s="128"/>
      <x:c r="S74" s="134"/>
      <x:c r="T74" s="128"/>
      <x:c r="U74" s="128"/>
      <x:c r="V74" s="137"/>
      <x:c r="W74" s="78"/>
      <x:c r="X74" s="78"/>
      <x:c r="Y74" s="78"/>
      <x:c r="Z74" s="78"/>
      <x:c r="AA74" s="78"/>
      <x:c r="AB74" s="78"/>
      <x:c r="AC74" s="78"/>
      <x:c r="AD74" s="78"/>
      <x:c r="AE74" s="78"/>
    </x:row>
    <x:row r="75" ht="24" customHeight="1">
      <x:c r="A75" s="78"/>
      <x:c r="B75" s="103"/>
      <x:c r="C75" s="105" t="str">
        <x:v>융합</x:v>
      </x:c>
      <x:c r="D75" s="101" t="str">
        <x:v>과학의 역사와 문화</x:v>
      </x:c>
      <x:c r="E75" s="127"/>
      <x:c r="F75" s="128"/>
      <x:c r="G75" s="134"/>
      <x:c r="H75" s="128"/>
      <x:c r="I75" s="128"/>
      <x:c r="J75" s="134"/>
      <x:c r="K75" s="128"/>
      <x:c r="L75" s="128"/>
      <x:c r="M75" s="134"/>
      <x:c r="N75" s="128"/>
      <x:c r="O75" s="128"/>
      <x:c r="P75" s="134"/>
      <x:c r="Q75" s="128"/>
      <x:c r="R75" s="128"/>
      <x:c r="S75" s="134"/>
      <x:c r="T75" s="128" t="n">
        <x:f>'기존안 과목내역'!I144</x:f>
        <x:v>3</x:v>
      </x:c>
      <x:c r="U75" s="128" t="n">
        <x:f>'공통융합 배정'!K61</x:f>
        <x:v>3</x:v>
      </x:c>
      <x:c r="V75" s="137" t="n">
        <x:f>'공통융합 배정'!L61</x:f>
        <x:v>9</x:v>
      </x:c>
      <x:c r="W75" s="78"/>
      <x:c r="X75" s="78"/>
      <x:c r="Y75" s="78"/>
      <x:c r="Z75" s="78"/>
      <x:c r="AA75" s="78"/>
      <x:c r="AB75" s="78"/>
      <x:c r="AC75" s="78"/>
      <x:c r="AD75" s="78"/>
      <x:c r="AE75" s="78"/>
    </x:row>
    <x:row r="76" ht="24" customHeight="1">
      <x:c r="A76" s="78"/>
      <x:c r="B76" s="103"/>
      <x:c r="C76" s="105" t="str">
        <x:v>융합</x:v>
      </x:c>
      <x:c r="D76" s="101" t="str">
        <x:v>기후변화와 환경생태</x:v>
      </x:c>
      <x:c r="E76" s="127"/>
      <x:c r="F76" s="128"/>
      <x:c r="G76" s="134"/>
      <x:c r="H76" s="128"/>
      <x:c r="I76" s="128"/>
      <x:c r="J76" s="134"/>
      <x:c r="K76" s="128"/>
      <x:c r="L76" s="128"/>
      <x:c r="M76" s="134"/>
      <x:c r="N76" s="128"/>
      <x:c r="O76" s="128"/>
      <x:c r="P76" s="134"/>
      <x:c r="Q76" s="128"/>
      <x:c r="R76" s="128"/>
      <x:c r="S76" s="134"/>
      <x:c r="T76" s="128" t="n">
        <x:f>'기존안 과목내역'!I145</x:f>
        <x:v>3</x:v>
      </x:c>
      <x:c r="U76" s="128" t="n">
        <x:f>'공통융합 배정'!K62</x:f>
        <x:v>0</x:v>
      </x:c>
      <x:c r="V76" s="137" t="n">
        <x:f>'공통융합 배정'!L62</x:f>
        <x:v>0</x:v>
      </x:c>
      <x:c r="W76" s="78"/>
      <x:c r="X76" s="78"/>
      <x:c r="Y76" s="78"/>
      <x:c r="Z76" s="78"/>
      <x:c r="AA76" s="78"/>
      <x:c r="AB76" s="78"/>
      <x:c r="AC76" s="78"/>
      <x:c r="AD76" s="78"/>
      <x:c r="AE76" s="78"/>
    </x:row>
    <x:row r="77" ht="24" customHeight="1">
      <x:c r="A77" s="78"/>
      <x:c r="B77" s="103"/>
      <x:c r="C77" s="105" t="str">
        <x:v>융합</x:v>
      </x:c>
      <x:c r="D77" s="101" t="str">
        <x:v>융합과학 탐구</x:v>
      </x:c>
      <x:c r="E77" s="130"/>
      <x:c r="F77" s="131"/>
      <x:c r="G77" s="135"/>
      <x:c r="H77" s="131"/>
      <x:c r="I77" s="131"/>
      <x:c r="J77" s="135"/>
      <x:c r="K77" s="131"/>
      <x:c r="L77" s="131"/>
      <x:c r="M77" s="135"/>
      <x:c r="N77" s="131"/>
      <x:c r="O77" s="131"/>
      <x:c r="P77" s="135"/>
      <x:c r="Q77" s="131"/>
      <x:c r="R77" s="131"/>
      <x:c r="S77" s="135"/>
      <x:c r="T77" s="131" t="n">
        <x:f>'기존안 과목내역'!I146</x:f>
        <x:v>3</x:v>
      </x:c>
      <x:c r="U77" s="131" t="n">
        <x:f>'공통융합 배정'!K63</x:f>
        <x:v>3</x:v>
      </x:c>
      <x:c r="V77" s="138" t="n">
        <x:f>'공통융합 배정'!L63</x:f>
        <x:v>9</x:v>
      </x:c>
      <x:c r="W77" s="78"/>
      <x:c r="X77" s="78"/>
      <x:c r="Y77" s="78"/>
      <x:c r="Z77" s="78"/>
      <x:c r="AA77" s="78"/>
      <x:c r="AB77" s="78"/>
      <x:c r="AC77" s="78"/>
      <x:c r="AD77" s="78"/>
      <x:c r="AE77" s="78"/>
    </x:row>
    <x:row r="78" ht="30" customHeight="1">
      <x:c r="A78" s="78"/>
      <x:c r="B78" s="141" t="str">
        <x:v>생명과학 합계</x:v>
      </x:c>
      <x:c r="C78" s="141"/>
      <x:c r="D78" s="141"/>
      <x:c r="E78" s="141"/>
      <x:c r="F78" s="141"/>
      <x:c r="G78" s="141" t="n">
        <x:f>SUM(G82,G83)</x:f>
        <x:v>12</x:v>
      </x:c>
      <x:c r="H78" s="141"/>
      <x:c r="I78" s="141"/>
      <x:c r="J78" s="141" t="n">
        <x:f>SUM(J84,J85)</x:f>
        <x:v>12</x:v>
      </x:c>
      <x:c r="K78" s="141"/>
      <x:c r="L78" s="141"/>
      <x:c r="M78" s="141" t="n">
        <x:f>SUM(M79)</x:f>
        <x:v>15</x:v>
      </x:c>
      <x:c r="N78" s="141"/>
      <x:c r="O78" s="141"/>
      <x:c r="P78" s="141" t="n">
        <x:f>SUM(P81)</x:f>
        <x:v>12</x:v>
      </x:c>
      <x:c r="Q78" s="141"/>
      <x:c r="R78" s="141"/>
      <x:c r="S78" s="141" t="n">
        <x:f>SUM(S80)</x:f>
        <x:v>18</x:v>
      </x:c>
      <x:c r="T78" s="141"/>
      <x:c r="U78" s="141"/>
      <x:c r="V78" s="141" t="n">
        <x:f>SUM(V86,V87,V88)</x:f>
        <x:v>30</x:v>
      </x:c>
      <x:c r="W78" s="141" t="n">
        <x:f>IF(ISNUMBER('산정근거'!C16),'산정근거'!C16,"미정")</x:f>
        <x:v>3</x:v>
      </x:c>
      <x:c r="X78" s="143" t="n">
        <x:f>SUM(M79,S80)</x:f>
        <x:v>33</x:v>
      </x:c>
      <x:c r="Y78" s="143" t="n">
        <x:f>SUM(G82,G83)</x:f>
        <x:v>12</x:v>
      </x:c>
      <x:c r="Z78" s="143" t="n">
        <x:f>X78+Y78</x:f>
        <x:v>45</x:v>
      </x:c>
      <x:c r="AA78" s="144" t="n">
        <x:f>IF(OR(NOT(ISNUMBER(W78)),W78&lt;=0),"미정",Z78/W78)</x:f>
        <x:v>15</x:v>
      </x:c>
      <x:c r="AB78" s="143" t="n">
        <x:f>SUM(P81)</x:f>
        <x:v>12</x:v>
      </x:c>
      <x:c r="AC78" s="143" t="n">
        <x:f>SUM(J84,J85,V86,V87,V88)</x:f>
        <x:v>42</x:v>
      </x:c>
      <x:c r="AD78" s="143" t="n">
        <x:f>AB78+AC78</x:f>
        <x:v>54</x:v>
      </x:c>
      <x:c r="AE78" s="144" t="n">
        <x:f>IF(OR(NOT(ISNUMBER(W78)),W78&lt;=0),"미정",AD78/W78)</x:f>
        <x:v>18</x:v>
      </x:c>
    </x:row>
    <x:row r="79" ht="24" customHeight="1">
      <x:c r="A79" s="78"/>
      <x:c r="B79" s="103" t="str">
        <x:v>생물</x:v>
      </x:c>
      <x:c r="C79" s="104" t="str">
        <x:v>자체</x:v>
      </x:c>
      <x:c r="D79" s="81" t="str">
        <x:v>생명과학</x:v>
      </x:c>
      <x:c r="E79" s="124"/>
      <x:c r="F79" s="125"/>
      <x:c r="G79" s="133"/>
      <x:c r="H79" s="125"/>
      <x:c r="I79" s="125"/>
      <x:c r="J79" s="133"/>
      <x:c r="K79" s="125" t="n">
        <x:f>'기존안 과목내역'!I115</x:f>
        <x:v>3</x:v>
      </x:c>
      <x:c r="L79" s="125" t="n">
        <x:f>'기존안 과목내역'!J115</x:f>
        <x:v>5</x:v>
      </x:c>
      <x:c r="M79" s="133" t="n">
        <x:f>K79*L79</x:f>
        <x:v>15</x:v>
      </x:c>
      <x:c r="N79" s="125"/>
      <x:c r="O79" s="125"/>
      <x:c r="P79" s="133"/>
      <x:c r="Q79" s="125"/>
      <x:c r="R79" s="125"/>
      <x:c r="S79" s="133"/>
      <x:c r="T79" s="125"/>
      <x:c r="U79" s="125"/>
      <x:c r="V79" s="136"/>
      <x:c r="W79" s="78"/>
      <x:c r="X79" s="78"/>
      <x:c r="Y79" s="78"/>
      <x:c r="Z79" s="78"/>
      <x:c r="AA79" s="78"/>
      <x:c r="AB79" s="78"/>
      <x:c r="AC79" s="78"/>
      <x:c r="AD79" s="78"/>
      <x:c r="AE79" s="78"/>
    </x:row>
    <x:row r="80" ht="24" customHeight="1">
      <x:c r="A80" s="78"/>
      <x:c r="B80" s="103"/>
      <x:c r="C80" s="104" t="str">
        <x:v>자체</x:v>
      </x:c>
      <x:c r="D80" s="81" t="str">
        <x:v>세포와 물질대사</x:v>
      </x:c>
      <x:c r="E80" s="127"/>
      <x:c r="F80" s="128"/>
      <x:c r="G80" s="134"/>
      <x:c r="H80" s="128"/>
      <x:c r="I80" s="128"/>
      <x:c r="J80" s="134"/>
      <x:c r="K80" s="128"/>
      <x:c r="L80" s="128"/>
      <x:c r="M80" s="134"/>
      <x:c r="N80" s="128"/>
      <x:c r="O80" s="128"/>
      <x:c r="P80" s="134"/>
      <x:c r="Q80" s="128" t="n">
        <x:f>'기존안 과목내역'!I124</x:f>
        <x:v>3</x:v>
      </x:c>
      <x:c r="R80" s="128" t="n">
        <x:f>'기존안 과목내역'!J124</x:f>
        <x:v>6</x:v>
      </x:c>
      <x:c r="S80" s="134" t="n">
        <x:f>Q80*R80</x:f>
        <x:v>18</x:v>
      </x:c>
      <x:c r="T80" s="128"/>
      <x:c r="U80" s="128"/>
      <x:c r="V80" s="137"/>
      <x:c r="W80" s="78"/>
      <x:c r="X80" s="78"/>
      <x:c r="Y80" s="78"/>
      <x:c r="Z80" s="78"/>
      <x:c r="AA80" s="78"/>
      <x:c r="AB80" s="78"/>
      <x:c r="AC80" s="78"/>
      <x:c r="AD80" s="78"/>
      <x:c r="AE80" s="78"/>
    </x:row>
    <x:row r="81" ht="24" customHeight="1">
      <x:c r="A81" s="78"/>
      <x:c r="B81" s="103"/>
      <x:c r="C81" s="104" t="str">
        <x:v>자체</x:v>
      </x:c>
      <x:c r="D81" s="81" t="str">
        <x:v>생물의 유전</x:v>
      </x:c>
      <x:c r="E81" s="127"/>
      <x:c r="F81" s="128"/>
      <x:c r="G81" s="134"/>
      <x:c r="H81" s="128"/>
      <x:c r="I81" s="128"/>
      <x:c r="J81" s="134"/>
      <x:c r="K81" s="128"/>
      <x:c r="L81" s="128"/>
      <x:c r="M81" s="134"/>
      <x:c r="N81" s="128" t="n">
        <x:f>'기존안 과목내역'!I137</x:f>
        <x:v>3</x:v>
      </x:c>
      <x:c r="O81" s="128" t="n">
        <x:f>'기존안 과목내역'!J137</x:f>
        <x:v>4</x:v>
      </x:c>
      <x:c r="P81" s="134" t="n">
        <x:f>N81*O81</x:f>
        <x:v>12</x:v>
      </x:c>
      <x:c r="Q81" s="128"/>
      <x:c r="R81" s="128"/>
      <x:c r="S81" s="134"/>
      <x:c r="T81" s="128"/>
      <x:c r="U81" s="128"/>
      <x:c r="V81" s="137"/>
      <x:c r="W81" s="78"/>
      <x:c r="X81" s="78"/>
      <x:c r="Y81" s="78"/>
      <x:c r="Z81" s="78"/>
      <x:c r="AA81" s="78"/>
      <x:c r="AB81" s="78"/>
      <x:c r="AC81" s="78"/>
      <x:c r="AD81" s="78"/>
      <x:c r="AE81" s="78"/>
    </x:row>
    <x:row r="82" ht="24" customHeight="1">
      <x:c r="A82" s="78"/>
      <x:c r="B82" s="103"/>
      <x:c r="C82" s="105" t="str">
        <x:v>통합</x:v>
      </x:c>
      <x:c r="D82" s="101" t="str">
        <x:v>통합과학1</x:v>
      </x:c>
      <x:c r="E82" s="127" t="n">
        <x:f>'기존안 과목내역'!I108</x:f>
        <x:v>4</x:v>
      </x:c>
      <x:c r="F82" s="128" t="n">
        <x:f>'공통융합 배정'!M55</x:f>
        <x:v>2</x:v>
      </x:c>
      <x:c r="G82" s="134" t="n">
        <x:f>'공통융합 배정'!N55</x:f>
        <x:v>8</x:v>
      </x:c>
      <x:c r="H82" s="128"/>
      <x:c r="I82" s="128"/>
      <x:c r="J82" s="134"/>
      <x:c r="K82" s="128"/>
      <x:c r="L82" s="128"/>
      <x:c r="M82" s="134"/>
      <x:c r="N82" s="128"/>
      <x:c r="O82" s="128"/>
      <x:c r="P82" s="134"/>
      <x:c r="Q82" s="128"/>
      <x:c r="R82" s="128"/>
      <x:c r="S82" s="134"/>
      <x:c r="T82" s="128"/>
      <x:c r="U82" s="128"/>
      <x:c r="V82" s="137"/>
      <x:c r="W82" s="78"/>
      <x:c r="X82" s="78"/>
      <x:c r="Y82" s="78"/>
      <x:c r="Z82" s="78"/>
      <x:c r="AA82" s="78"/>
      <x:c r="AB82" s="78"/>
      <x:c r="AC82" s="78"/>
      <x:c r="AD82" s="78"/>
      <x:c r="AE82" s="78"/>
    </x:row>
    <x:row r="83" ht="24" customHeight="1">
      <x:c r="A83" s="78"/>
      <x:c r="B83" s="103"/>
      <x:c r="C83" s="105" t="str">
        <x:v>실험</x:v>
      </x:c>
      <x:c r="D83" s="101" t="str">
        <x:v>과학탐구실험1</x:v>
      </x:c>
      <x:c r="E83" s="127" t="n">
        <x:f>'기존안 과목내역'!I109</x:f>
        <x:v>1</x:v>
      </x:c>
      <x:c r="F83" s="128" t="n">
        <x:f>'공통융합 배정'!M56</x:f>
        <x:v>4</x:v>
      </x:c>
      <x:c r="G83" s="134" t="n">
        <x:f>'공통융합 배정'!N56</x:f>
        <x:v>4</x:v>
      </x:c>
      <x:c r="H83" s="128"/>
      <x:c r="I83" s="128"/>
      <x:c r="J83" s="134"/>
      <x:c r="K83" s="128"/>
      <x:c r="L83" s="128"/>
      <x:c r="M83" s="134"/>
      <x:c r="N83" s="128"/>
      <x:c r="O83" s="128"/>
      <x:c r="P83" s="134"/>
      <x:c r="Q83" s="128"/>
      <x:c r="R83" s="128"/>
      <x:c r="S83" s="134"/>
      <x:c r="T83" s="128"/>
      <x:c r="U83" s="128"/>
      <x:c r="V83" s="137"/>
      <x:c r="W83" s="78"/>
      <x:c r="X83" s="78"/>
      <x:c r="Y83" s="78"/>
      <x:c r="Z83" s="78"/>
      <x:c r="AA83" s="78"/>
      <x:c r="AB83" s="78"/>
      <x:c r="AC83" s="78"/>
      <x:c r="AD83" s="78"/>
      <x:c r="AE83" s="78"/>
    </x:row>
    <x:row r="84" ht="24" customHeight="1">
      <x:c r="A84" s="78"/>
      <x:c r="B84" s="103"/>
      <x:c r="C84" s="105" t="str">
        <x:v>통합</x:v>
      </x:c>
      <x:c r="D84" s="101" t="str">
        <x:v>통합과학2</x:v>
      </x:c>
      <x:c r="E84" s="127"/>
      <x:c r="F84" s="128"/>
      <x:c r="G84" s="134"/>
      <x:c r="H84" s="128" t="n">
        <x:f>'기존안 과목내역'!I129</x:f>
        <x:v>4</x:v>
      </x:c>
      <x:c r="I84" s="128" t="n">
        <x:f>'공통융합 배정'!M59</x:f>
        <x:v>2</x:v>
      </x:c>
      <x:c r="J84" s="134" t="n">
        <x:f>'공통융합 배정'!N59</x:f>
        <x:v>8</x:v>
      </x:c>
      <x:c r="K84" s="128"/>
      <x:c r="L84" s="128"/>
      <x:c r="M84" s="134"/>
      <x:c r="N84" s="128"/>
      <x:c r="O84" s="128"/>
      <x:c r="P84" s="134"/>
      <x:c r="Q84" s="128"/>
      <x:c r="R84" s="128"/>
      <x:c r="S84" s="134"/>
      <x:c r="T84" s="128"/>
      <x:c r="U84" s="128"/>
      <x:c r="V84" s="137"/>
      <x:c r="W84" s="78"/>
      <x:c r="X84" s="78"/>
      <x:c r="Y84" s="78"/>
      <x:c r="Z84" s="78"/>
      <x:c r="AA84" s="78"/>
      <x:c r="AB84" s="78"/>
      <x:c r="AC84" s="78"/>
      <x:c r="AD84" s="78"/>
      <x:c r="AE84" s="78"/>
    </x:row>
    <x:row r="85" ht="24" customHeight="1">
      <x:c r="A85" s="78"/>
      <x:c r="B85" s="103"/>
      <x:c r="C85" s="105" t="str">
        <x:v>실험</x:v>
      </x:c>
      <x:c r="D85" s="101" t="str">
        <x:v>과학탐구실험2</x:v>
      </x:c>
      <x:c r="E85" s="127"/>
      <x:c r="F85" s="128"/>
      <x:c r="G85" s="134"/>
      <x:c r="H85" s="128" t="n">
        <x:f>'기존안 과목내역'!I130</x:f>
        <x:v>1</x:v>
      </x:c>
      <x:c r="I85" s="128" t="n">
        <x:f>'공통융합 배정'!M60</x:f>
        <x:v>4</x:v>
      </x:c>
      <x:c r="J85" s="134" t="n">
        <x:f>'공통융합 배정'!N60</x:f>
        <x:v>4</x:v>
      </x:c>
      <x:c r="K85" s="128"/>
      <x:c r="L85" s="128"/>
      <x:c r="M85" s="134"/>
      <x:c r="N85" s="128"/>
      <x:c r="O85" s="128"/>
      <x:c r="P85" s="134"/>
      <x:c r="Q85" s="128"/>
      <x:c r="R85" s="128"/>
      <x:c r="S85" s="134"/>
      <x:c r="T85" s="128"/>
      <x:c r="U85" s="128"/>
      <x:c r="V85" s="137"/>
      <x:c r="W85" s="78"/>
      <x:c r="X85" s="78"/>
      <x:c r="Y85" s="78"/>
      <x:c r="Z85" s="78"/>
      <x:c r="AA85" s="78"/>
      <x:c r="AB85" s="78"/>
      <x:c r="AC85" s="78"/>
      <x:c r="AD85" s="78"/>
      <x:c r="AE85" s="78"/>
    </x:row>
    <x:row r="86" ht="24" customHeight="1">
      <x:c r="A86" s="78"/>
      <x:c r="B86" s="103"/>
      <x:c r="C86" s="105" t="str">
        <x:v>융합</x:v>
      </x:c>
      <x:c r="D86" s="101" t="str">
        <x:v>과학의 역사와 문화</x:v>
      </x:c>
      <x:c r="E86" s="127"/>
      <x:c r="F86" s="128"/>
      <x:c r="G86" s="134"/>
      <x:c r="H86" s="128"/>
      <x:c r="I86" s="128"/>
      <x:c r="J86" s="134"/>
      <x:c r="K86" s="128"/>
      <x:c r="L86" s="128"/>
      <x:c r="M86" s="134"/>
      <x:c r="N86" s="128"/>
      <x:c r="O86" s="128"/>
      <x:c r="P86" s="134"/>
      <x:c r="Q86" s="128"/>
      <x:c r="R86" s="128"/>
      <x:c r="S86" s="134"/>
      <x:c r="T86" s="128" t="n">
        <x:f>'기존안 과목내역'!I144</x:f>
        <x:v>3</x:v>
      </x:c>
      <x:c r="U86" s="128" t="n">
        <x:f>'공통융합 배정'!M61</x:f>
        <x:v>2</x:v>
      </x:c>
      <x:c r="V86" s="137" t="n">
        <x:f>'공통융합 배정'!N61</x:f>
        <x:v>6</x:v>
      </x:c>
      <x:c r="W86" s="78"/>
      <x:c r="X86" s="78"/>
      <x:c r="Y86" s="78"/>
      <x:c r="Z86" s="78"/>
      <x:c r="AA86" s="78"/>
      <x:c r="AB86" s="78"/>
      <x:c r="AC86" s="78"/>
      <x:c r="AD86" s="78"/>
      <x:c r="AE86" s="78"/>
    </x:row>
    <x:row r="87" ht="24" customHeight="1">
      <x:c r="A87" s="78"/>
      <x:c r="B87" s="103"/>
      <x:c r="C87" s="105" t="str">
        <x:v>융합</x:v>
      </x:c>
      <x:c r="D87" s="101" t="str">
        <x:v>기후변화와 환경생태</x:v>
      </x:c>
      <x:c r="E87" s="127"/>
      <x:c r="F87" s="128"/>
      <x:c r="G87" s="134"/>
      <x:c r="H87" s="128"/>
      <x:c r="I87" s="128"/>
      <x:c r="J87" s="134"/>
      <x:c r="K87" s="128"/>
      <x:c r="L87" s="128"/>
      <x:c r="M87" s="134"/>
      <x:c r="N87" s="128"/>
      <x:c r="O87" s="128"/>
      <x:c r="P87" s="134"/>
      <x:c r="Q87" s="128"/>
      <x:c r="R87" s="128"/>
      <x:c r="S87" s="134"/>
      <x:c r="T87" s="128" t="n">
        <x:f>'기존안 과목내역'!I145</x:f>
        <x:v>3</x:v>
      </x:c>
      <x:c r="U87" s="128" t="n">
        <x:f>'공통융합 배정'!M62</x:f>
        <x:v>6</x:v>
      </x:c>
      <x:c r="V87" s="137" t="n">
        <x:f>'공통융합 배정'!N62</x:f>
        <x:v>18</x:v>
      </x:c>
      <x:c r="W87" s="78"/>
      <x:c r="X87" s="78"/>
      <x:c r="Y87" s="78"/>
      <x:c r="Z87" s="78"/>
      <x:c r="AA87" s="78"/>
      <x:c r="AB87" s="78"/>
      <x:c r="AC87" s="78"/>
      <x:c r="AD87" s="78"/>
      <x:c r="AE87" s="78"/>
    </x:row>
    <x:row r="88" ht="24" customHeight="1">
      <x:c r="A88" s="78"/>
      <x:c r="B88" s="103"/>
      <x:c r="C88" s="105" t="str">
        <x:v>융합</x:v>
      </x:c>
      <x:c r="D88" s="101" t="str">
        <x:v>융합과학 탐구</x:v>
      </x:c>
      <x:c r="E88" s="130"/>
      <x:c r="F88" s="131"/>
      <x:c r="G88" s="135"/>
      <x:c r="H88" s="131"/>
      <x:c r="I88" s="131"/>
      <x:c r="J88" s="135"/>
      <x:c r="K88" s="131"/>
      <x:c r="L88" s="131"/>
      <x:c r="M88" s="135"/>
      <x:c r="N88" s="131"/>
      <x:c r="O88" s="131"/>
      <x:c r="P88" s="135"/>
      <x:c r="Q88" s="131"/>
      <x:c r="R88" s="131"/>
      <x:c r="S88" s="135"/>
      <x:c r="T88" s="131" t="n">
        <x:f>'기존안 과목내역'!I146</x:f>
        <x:v>3</x:v>
      </x:c>
      <x:c r="U88" s="131" t="n">
        <x:f>'공통융합 배정'!M63</x:f>
        <x:v>2</x:v>
      </x:c>
      <x:c r="V88" s="138" t="n">
        <x:f>'공통융합 배정'!N63</x:f>
        <x:v>6</x:v>
      </x:c>
      <x:c r="W88" s="78"/>
      <x:c r="X88" s="78"/>
      <x:c r="Y88" s="78"/>
      <x:c r="Z88" s="78"/>
      <x:c r="AA88" s="78"/>
      <x:c r="AB88" s="78"/>
      <x:c r="AC88" s="78"/>
      <x:c r="AD88" s="78"/>
      <x:c r="AE88" s="78"/>
    </x:row>
    <x:row r="89" ht="30" customHeight="1">
      <x:c r="A89" s="78"/>
      <x:c r="B89" s="141" t="str">
        <x:v>지구과학 합계</x:v>
      </x:c>
      <x:c r="C89" s="141"/>
      <x:c r="D89" s="141"/>
      <x:c r="E89" s="141"/>
      <x:c r="F89" s="141"/>
      <x:c r="G89" s="141" t="n">
        <x:f>SUM(G93,G94)</x:f>
        <x:v>33</x:v>
      </x:c>
      <x:c r="H89" s="141"/>
      <x:c r="I89" s="141"/>
      <x:c r="J89" s="141" t="n">
        <x:f>SUM(J95,J96)</x:f>
        <x:v>12</x:v>
      </x:c>
      <x:c r="K89" s="141"/>
      <x:c r="L89" s="141"/>
      <x:c r="M89" s="141" t="n">
        <x:f>SUM(M90)</x:f>
        <x:v>12</x:v>
      </x:c>
      <x:c r="N89" s="141"/>
      <x:c r="O89" s="141"/>
      <x:c r="P89" s="141" t="n">
        <x:f>SUM(P90,P92)</x:f>
        <x:v>15</x:v>
      </x:c>
      <x:c r="Q89" s="141"/>
      <x:c r="R89" s="141"/>
      <x:c r="S89" s="141" t="n">
        <x:f>SUM(S91)</x:f>
        <x:v>0</x:v>
      </x:c>
      <x:c r="T89" s="141"/>
      <x:c r="U89" s="141"/>
      <x:c r="V89" s="141" t="n">
        <x:f>SUM(V97,V98,V99)</x:f>
        <x:v>27</x:v>
      </x:c>
      <x:c r="W89" s="141" t="n">
        <x:f>IF(ISNUMBER('산정근거'!C17),'산정근거'!C17,"미정")</x:f>
        <x:v>3</x:v>
      </x:c>
      <x:c r="X89" s="143" t="n">
        <x:f>SUM(M90,S91)</x:f>
        <x:v>12</x:v>
      </x:c>
      <x:c r="Y89" s="143" t="n">
        <x:f>SUM(G93,G94)</x:f>
        <x:v>33</x:v>
      </x:c>
      <x:c r="Z89" s="143" t="n">
        <x:f>X89+Y89</x:f>
        <x:v>45</x:v>
      </x:c>
      <x:c r="AA89" s="144" t="n">
        <x:f>IF(OR(NOT(ISNUMBER(W89)),W89&lt;=0),"미정",Z89/W89)</x:f>
        <x:v>15</x:v>
      </x:c>
      <x:c r="AB89" s="143" t="n">
        <x:f>SUM(P90,P92)</x:f>
        <x:v>15</x:v>
      </x:c>
      <x:c r="AC89" s="143" t="n">
        <x:f>SUM(J95,J96,V97,V98,V99)</x:f>
        <x:v>39</x:v>
      </x:c>
      <x:c r="AD89" s="143" t="n">
        <x:f>AB89+AC89</x:f>
        <x:v>54</x:v>
      </x:c>
      <x:c r="AE89" s="144" t="n">
        <x:f>IF(OR(NOT(ISNUMBER(W89)),W89&lt;=0),"미정",AD89/W89)</x:f>
        <x:v>18</x:v>
      </x:c>
    </x:row>
    <x:row r="90" ht="24" customHeight="1">
      <x:c r="A90" s="78"/>
      <x:c r="B90" s="103" t="str">
        <x:v>지구과학</x:v>
      </x:c>
      <x:c r="C90" s="104" t="str">
        <x:v>자체</x:v>
      </x:c>
      <x:c r="D90" s="81" t="str">
        <x:v>지구과학</x:v>
      </x:c>
      <x:c r="E90" s="124"/>
      <x:c r="F90" s="125"/>
      <x:c r="G90" s="133"/>
      <x:c r="H90" s="125"/>
      <x:c r="I90" s="125"/>
      <x:c r="J90" s="133"/>
      <x:c r="K90" s="125" t="n">
        <x:f>'기존안 과목내역'!I116</x:f>
        <x:v>3</x:v>
      </x:c>
      <x:c r="L90" s="125" t="n">
        <x:f>'기존안 과목내역'!J116</x:f>
        <x:v>4</x:v>
      </x:c>
      <x:c r="M90" s="133" t="n">
        <x:f>K90*L90</x:f>
        <x:v>12</x:v>
      </x:c>
      <x:c r="N90" s="125" t="n">
        <x:f>'기존안 과목내역'!I136</x:f>
        <x:v>3</x:v>
      </x:c>
      <x:c r="O90" s="125" t="n">
        <x:f>'기존안 과목내역'!J136</x:f>
        <x:v>4</x:v>
      </x:c>
      <x:c r="P90" s="133" t="n">
        <x:f>N90*O90</x:f>
        <x:v>12</x:v>
      </x:c>
      <x:c r="Q90" s="125"/>
      <x:c r="R90" s="125"/>
      <x:c r="S90" s="133"/>
      <x:c r="T90" s="125"/>
      <x:c r="U90" s="125"/>
      <x:c r="V90" s="136"/>
      <x:c r="W90" s="78"/>
      <x:c r="X90" s="78"/>
      <x:c r="Y90" s="78"/>
      <x:c r="Z90" s="78"/>
      <x:c r="AA90" s="78"/>
      <x:c r="AB90" s="78"/>
      <x:c r="AC90" s="78"/>
      <x:c r="AD90" s="78"/>
      <x:c r="AE90" s="78"/>
    </x:row>
    <x:row r="91" ht="24" customHeight="1">
      <x:c r="A91" s="78"/>
      <x:c r="B91" s="103"/>
      <x:c r="C91" s="104" t="str">
        <x:v>자체</x:v>
      </x:c>
      <x:c r="D91" s="81" t="str">
        <x:v>지구시스템과학</x:v>
      </x:c>
      <x:c r="E91" s="127"/>
      <x:c r="F91" s="128"/>
      <x:c r="G91" s="134"/>
      <x:c r="H91" s="128"/>
      <x:c r="I91" s="128"/>
      <x:c r="J91" s="134"/>
      <x:c r="K91" s="128"/>
      <x:c r="L91" s="128"/>
      <x:c r="M91" s="134"/>
      <x:c r="N91" s="128"/>
      <x:c r="O91" s="128"/>
      <x:c r="P91" s="134"/>
      <x:c r="Q91" s="128" t="n">
        <x:f>'기존안 과목내역'!I126</x:f>
        <x:v>3</x:v>
      </x:c>
      <x:c r="R91" s="128" t="n">
        <x:f>'기존안 과목내역'!J126</x:f>
        <x:v>0</x:v>
      </x:c>
      <x:c r="S91" s="134" t="n">
        <x:f>Q91*R91</x:f>
        <x:v>0</x:v>
      </x:c>
      <x:c r="T91" s="128"/>
      <x:c r="U91" s="128"/>
      <x:c r="V91" s="137"/>
      <x:c r="W91" s="78"/>
      <x:c r="X91" s="78"/>
      <x:c r="Y91" s="78"/>
      <x:c r="Z91" s="78"/>
      <x:c r="AA91" s="78"/>
      <x:c r="AB91" s="78"/>
      <x:c r="AC91" s="78"/>
      <x:c r="AD91" s="78"/>
      <x:c r="AE91" s="78"/>
    </x:row>
    <x:row r="92" ht="24" customHeight="1">
      <x:c r="A92" s="78"/>
      <x:c r="B92" s="103"/>
      <x:c r="C92" s="104" t="str">
        <x:v>자체</x:v>
      </x:c>
      <x:c r="D92" s="81" t="str">
        <x:v>행성우주과학</x:v>
      </x:c>
      <x:c r="E92" s="127"/>
      <x:c r="F92" s="128"/>
      <x:c r="G92" s="134"/>
      <x:c r="H92" s="128"/>
      <x:c r="I92" s="128"/>
      <x:c r="J92" s="134"/>
      <x:c r="K92" s="128"/>
      <x:c r="L92" s="128"/>
      <x:c r="M92" s="134"/>
      <x:c r="N92" s="128" t="n">
        <x:f>'기존안 과목내역'!I139</x:f>
        <x:v>3</x:v>
      </x:c>
      <x:c r="O92" s="128" t="n">
        <x:f>'기존안 과목내역'!J139</x:f>
        <x:v>1</x:v>
      </x:c>
      <x:c r="P92" s="134" t="n">
        <x:f>N92*O92</x:f>
        <x:v>3</x:v>
      </x:c>
      <x:c r="Q92" s="128"/>
      <x:c r="R92" s="128"/>
      <x:c r="S92" s="134"/>
      <x:c r="T92" s="128"/>
      <x:c r="U92" s="128"/>
      <x:c r="V92" s="137"/>
      <x:c r="W92" s="78"/>
      <x:c r="X92" s="78"/>
      <x:c r="Y92" s="78"/>
      <x:c r="Z92" s="78"/>
      <x:c r="AA92" s="78"/>
      <x:c r="AB92" s="78"/>
      <x:c r="AC92" s="78"/>
      <x:c r="AD92" s="78"/>
      <x:c r="AE92" s="78"/>
    </x:row>
    <x:row r="93" ht="24" customHeight="1">
      <x:c r="A93" s="78"/>
      <x:c r="B93" s="103"/>
      <x:c r="C93" s="105" t="str">
        <x:v>통합</x:v>
      </x:c>
      <x:c r="D93" s="101" t="str">
        <x:v>통합과학1</x:v>
      </x:c>
      <x:c r="E93" s="127" t="n">
        <x:f>'기존안 과목내역'!I108</x:f>
        <x:v>4</x:v>
      </x:c>
      <x:c r="F93" s="128" t="n">
        <x:f>'공통융합 배정'!O55</x:f>
        <x:v>7</x:v>
      </x:c>
      <x:c r="G93" s="134" t="n">
        <x:f>'공통융합 배정'!P55</x:f>
        <x:v>28</x:v>
      </x:c>
      <x:c r="H93" s="128"/>
      <x:c r="I93" s="128"/>
      <x:c r="J93" s="134"/>
      <x:c r="K93" s="128"/>
      <x:c r="L93" s="128"/>
      <x:c r="M93" s="134"/>
      <x:c r="N93" s="128"/>
      <x:c r="O93" s="128"/>
      <x:c r="P93" s="134"/>
      <x:c r="Q93" s="128"/>
      <x:c r="R93" s="128"/>
      <x:c r="S93" s="134"/>
      <x:c r="T93" s="128"/>
      <x:c r="U93" s="128"/>
      <x:c r="V93" s="137"/>
      <x:c r="W93" s="78"/>
      <x:c r="X93" s="78"/>
      <x:c r="Y93" s="78"/>
      <x:c r="Z93" s="78"/>
      <x:c r="AA93" s="78"/>
      <x:c r="AB93" s="78"/>
      <x:c r="AC93" s="78"/>
      <x:c r="AD93" s="78"/>
      <x:c r="AE93" s="78"/>
    </x:row>
    <x:row r="94" ht="24" customHeight="1">
      <x:c r="A94" s="78"/>
      <x:c r="B94" s="103"/>
      <x:c r="C94" s="105" t="str">
        <x:v>실험</x:v>
      </x:c>
      <x:c r="D94" s="101" t="str">
        <x:v>과학탐구실험1</x:v>
      </x:c>
      <x:c r="E94" s="127" t="n">
        <x:f>'기존안 과목내역'!I109</x:f>
        <x:v>1</x:v>
      </x:c>
      <x:c r="F94" s="128" t="n">
        <x:f>'공통융합 배정'!O56</x:f>
        <x:v>5</x:v>
      </x:c>
      <x:c r="G94" s="134" t="n">
        <x:f>'공통융합 배정'!P56</x:f>
        <x:v>5</x:v>
      </x:c>
      <x:c r="H94" s="128"/>
      <x:c r="I94" s="128"/>
      <x:c r="J94" s="134"/>
      <x:c r="K94" s="128"/>
      <x:c r="L94" s="128"/>
      <x:c r="M94" s="134"/>
      <x:c r="N94" s="128"/>
      <x:c r="O94" s="128"/>
      <x:c r="P94" s="134"/>
      <x:c r="Q94" s="128"/>
      <x:c r="R94" s="128"/>
      <x:c r="S94" s="134"/>
      <x:c r="T94" s="128"/>
      <x:c r="U94" s="128"/>
      <x:c r="V94" s="137"/>
      <x:c r="W94" s="78"/>
      <x:c r="X94" s="78"/>
      <x:c r="Y94" s="78"/>
      <x:c r="Z94" s="78"/>
      <x:c r="AA94" s="78"/>
      <x:c r="AB94" s="78"/>
      <x:c r="AC94" s="78"/>
      <x:c r="AD94" s="78"/>
      <x:c r="AE94" s="78"/>
    </x:row>
    <x:row r="95" ht="24" customHeight="1">
      <x:c r="A95" s="78"/>
      <x:c r="B95" s="103"/>
      <x:c r="C95" s="105" t="str">
        <x:v>통합</x:v>
      </x:c>
      <x:c r="D95" s="101" t="str">
        <x:v>통합과학2</x:v>
      </x:c>
      <x:c r="E95" s="127"/>
      <x:c r="F95" s="128"/>
      <x:c r="G95" s="134"/>
      <x:c r="H95" s="128" t="n">
        <x:f>'기존안 과목내역'!I129</x:f>
        <x:v>4</x:v>
      </x:c>
      <x:c r="I95" s="128" t="n">
        <x:f>'공통융합 배정'!O59</x:f>
        <x:v>2</x:v>
      </x:c>
      <x:c r="J95" s="134" t="n">
        <x:f>'공통융합 배정'!P59</x:f>
        <x:v>8</x:v>
      </x:c>
      <x:c r="K95" s="128"/>
      <x:c r="L95" s="128"/>
      <x:c r="M95" s="134"/>
      <x:c r="N95" s="128"/>
      <x:c r="O95" s="128"/>
      <x:c r="P95" s="134"/>
      <x:c r="Q95" s="128"/>
      <x:c r="R95" s="128"/>
      <x:c r="S95" s="134"/>
      <x:c r="T95" s="128"/>
      <x:c r="U95" s="128"/>
      <x:c r="V95" s="137"/>
      <x:c r="W95" s="78"/>
      <x:c r="X95" s="78"/>
      <x:c r="Y95" s="78"/>
      <x:c r="Z95" s="78"/>
      <x:c r="AA95" s="78"/>
      <x:c r="AB95" s="78"/>
      <x:c r="AC95" s="78"/>
      <x:c r="AD95" s="78"/>
      <x:c r="AE95" s="78"/>
    </x:row>
    <x:row r="96" ht="24" customHeight="1">
      <x:c r="A96" s="78"/>
      <x:c r="B96" s="103"/>
      <x:c r="C96" s="105" t="str">
        <x:v>실험</x:v>
      </x:c>
      <x:c r="D96" s="101" t="str">
        <x:v>과학탐구실험2</x:v>
      </x:c>
      <x:c r="E96" s="127"/>
      <x:c r="F96" s="128"/>
      <x:c r="G96" s="134"/>
      <x:c r="H96" s="128" t="n">
        <x:f>'기존안 과목내역'!I130</x:f>
        <x:v>1</x:v>
      </x:c>
      <x:c r="I96" s="128" t="n">
        <x:f>'공통융합 배정'!O60</x:f>
        <x:v>4</x:v>
      </x:c>
      <x:c r="J96" s="134" t="n">
        <x:f>'공통융합 배정'!P60</x:f>
        <x:v>4</x:v>
      </x:c>
      <x:c r="K96" s="128"/>
      <x:c r="L96" s="128"/>
      <x:c r="M96" s="134"/>
      <x:c r="N96" s="128"/>
      <x:c r="O96" s="128"/>
      <x:c r="P96" s="134"/>
      <x:c r="Q96" s="128"/>
      <x:c r="R96" s="128"/>
      <x:c r="S96" s="134"/>
      <x:c r="T96" s="128"/>
      <x:c r="U96" s="128"/>
      <x:c r="V96" s="137"/>
      <x:c r="W96" s="78"/>
      <x:c r="X96" s="78"/>
      <x:c r="Y96" s="78"/>
      <x:c r="Z96" s="78"/>
      <x:c r="AA96" s="78"/>
      <x:c r="AB96" s="78"/>
      <x:c r="AC96" s="78"/>
      <x:c r="AD96" s="78"/>
      <x:c r="AE96" s="78"/>
    </x:row>
    <x:row r="97" ht="24" customHeight="1">
      <x:c r="A97" s="78"/>
      <x:c r="B97" s="103"/>
      <x:c r="C97" s="105" t="str">
        <x:v>융합</x:v>
      </x:c>
      <x:c r="D97" s="101" t="str">
        <x:v>과학의 역사와 문화</x:v>
      </x:c>
      <x:c r="E97" s="127"/>
      <x:c r="F97" s="128"/>
      <x:c r="G97" s="134"/>
      <x:c r="H97" s="128"/>
      <x:c r="I97" s="128"/>
      <x:c r="J97" s="134"/>
      <x:c r="K97" s="128"/>
      <x:c r="L97" s="128"/>
      <x:c r="M97" s="134"/>
      <x:c r="N97" s="128"/>
      <x:c r="O97" s="128"/>
      <x:c r="P97" s="134"/>
      <x:c r="Q97" s="128"/>
      <x:c r="R97" s="128"/>
      <x:c r="S97" s="134"/>
      <x:c r="T97" s="128" t="n">
        <x:f>'기존안 과목내역'!I144</x:f>
        <x:v>3</x:v>
      </x:c>
      <x:c r="U97" s="128" t="n">
        <x:f>'공통융합 배정'!O61</x:f>
        <x:v>2</x:v>
      </x:c>
      <x:c r="V97" s="137" t="n">
        <x:f>'공통융합 배정'!P61</x:f>
        <x:v>6</x:v>
      </x:c>
      <x:c r="W97" s="78"/>
      <x:c r="X97" s="78"/>
      <x:c r="Y97" s="78"/>
      <x:c r="Z97" s="78"/>
      <x:c r="AA97" s="78"/>
      <x:c r="AB97" s="78"/>
      <x:c r="AC97" s="78"/>
      <x:c r="AD97" s="78"/>
      <x:c r="AE97" s="78"/>
    </x:row>
    <x:row r="98" ht="24" customHeight="1">
      <x:c r="A98" s="78"/>
      <x:c r="B98" s="103"/>
      <x:c r="C98" s="105" t="str">
        <x:v>융합</x:v>
      </x:c>
      <x:c r="D98" s="101" t="str">
        <x:v>기후변화와 환경생태</x:v>
      </x:c>
      <x:c r="E98" s="127"/>
      <x:c r="F98" s="128"/>
      <x:c r="G98" s="134"/>
      <x:c r="H98" s="128"/>
      <x:c r="I98" s="128"/>
      <x:c r="J98" s="134"/>
      <x:c r="K98" s="128"/>
      <x:c r="L98" s="128"/>
      <x:c r="M98" s="134"/>
      <x:c r="N98" s="128"/>
      <x:c r="O98" s="128"/>
      <x:c r="P98" s="134"/>
      <x:c r="Q98" s="128"/>
      <x:c r="R98" s="128"/>
      <x:c r="S98" s="134"/>
      <x:c r="T98" s="128" t="n">
        <x:f>'기존안 과목내역'!I145</x:f>
        <x:v>3</x:v>
      </x:c>
      <x:c r="U98" s="128" t="n">
        <x:f>'공통융합 배정'!O62</x:f>
        <x:v>5</x:v>
      </x:c>
      <x:c r="V98" s="137" t="n">
        <x:f>'공통융합 배정'!P62</x:f>
        <x:v>15</x:v>
      </x:c>
      <x:c r="W98" s="78"/>
      <x:c r="X98" s="78"/>
      <x:c r="Y98" s="78"/>
      <x:c r="Z98" s="78"/>
      <x:c r="AA98" s="78"/>
      <x:c r="AB98" s="78"/>
      <x:c r="AC98" s="78"/>
      <x:c r="AD98" s="78"/>
      <x:c r="AE98" s="78"/>
    </x:row>
    <x:row r="99" ht="24" customHeight="1">
      <x:c r="A99" s="78"/>
      <x:c r="B99" s="103"/>
      <x:c r="C99" s="105" t="str">
        <x:v>융합</x:v>
      </x:c>
      <x:c r="D99" s="101" t="str">
        <x:v>융합과학 탐구</x:v>
      </x:c>
      <x:c r="E99" s="130"/>
      <x:c r="F99" s="131"/>
      <x:c r="G99" s="135"/>
      <x:c r="H99" s="131"/>
      <x:c r="I99" s="131"/>
      <x:c r="J99" s="135"/>
      <x:c r="K99" s="131"/>
      <x:c r="L99" s="131"/>
      <x:c r="M99" s="135"/>
      <x:c r="N99" s="131"/>
      <x:c r="O99" s="131"/>
      <x:c r="P99" s="135"/>
      <x:c r="Q99" s="131"/>
      <x:c r="R99" s="131"/>
      <x:c r="S99" s="135"/>
      <x:c r="T99" s="131" t="n">
        <x:f>'기존안 과목내역'!I146</x:f>
        <x:v>3</x:v>
      </x:c>
      <x:c r="U99" s="131" t="n">
        <x:f>'공통융합 배정'!O63</x:f>
        <x:v>2</x:v>
      </x:c>
      <x:c r="V99" s="138" t="n">
        <x:f>'공통융합 배정'!P63</x:f>
        <x:v>6</x:v>
      </x:c>
      <x:c r="W99" s="78"/>
      <x:c r="X99" s="78"/>
      <x:c r="Y99" s="78"/>
      <x:c r="Z99" s="78"/>
      <x:c r="AA99" s="78"/>
      <x:c r="AB99" s="78"/>
      <x:c r="AC99" s="78"/>
      <x:c r="AD99" s="78"/>
      <x:c r="AE99" s="78"/>
    </x:row>
    <x:row r="100" ht="30" customHeight="1">
      <x:c r="A100" s="78"/>
      <x:c r="B100" s="145" t="str">
        <x:v>사회 전체</x:v>
      </x:c>
      <x:c r="C100" s="145"/>
      <x:c r="D100" s="145"/>
      <x:c r="E100" s="145"/>
      <x:c r="F100" s="145"/>
      <x:c r="G100" s="145" t="n">
        <x:f>SUM(G13,G24,G36,G46)</x:f>
        <x:v>84</x:v>
      </x:c>
      <x:c r="H100" s="145"/>
      <x:c r="I100" s="145"/>
      <x:c r="J100" s="145" t="n">
        <x:f>SUM(J13,J24,J36,J46)</x:f>
        <x:v>84</x:v>
      </x:c>
      <x:c r="K100" s="145"/>
      <x:c r="L100" s="145"/>
      <x:c r="M100" s="145" t="n">
        <x:f>SUM(M13,M24,M36,M46)</x:f>
        <x:v>54</x:v>
      </x:c>
      <x:c r="N100" s="145"/>
      <x:c r="O100" s="145"/>
      <x:c r="P100" s="145" t="n">
        <x:f>SUM(P13,P24,P36,P46)</x:f>
        <x:v>54</x:v>
      </x:c>
      <x:c r="Q100" s="145"/>
      <x:c r="R100" s="145"/>
      <x:c r="S100" s="145" t="n">
        <x:f>SUM(S13,S24,S36,S46)</x:f>
        <x:v>81</x:v>
      </x:c>
      <x:c r="T100" s="145"/>
      <x:c r="U100" s="145"/>
      <x:c r="V100" s="145" t="n">
        <x:f>SUM(V13,V24,V36,V46)</x:f>
        <x:v>60</x:v>
      </x:c>
      <x:c r="W100" s="145" t="n">
        <x:f>IF(OR(COUNT(W13,W24,W36,W46)&lt;&gt;4,MIN(W13,W24,W36,W46)&lt;=0),"미정",SUM(W13,W24,W36,W46))</x:f>
        <x:v>12</x:v>
      </x:c>
      <x:c r="X100" s="145" t="n">
        <x:f>SUM(X13,X24,X36,X46)</x:f>
        <x:v>156</x:v>
      </x:c>
      <x:c r="Y100" s="145" t="n">
        <x:f>SUM(Y13,Y24,Y36,Y46)</x:f>
        <x:v>63</x:v>
      </x:c>
      <x:c r="Z100" s="145" t="n">
        <x:f>SUM(Z13,Z24,Z36,Z46)</x:f>
        <x:v>219</x:v>
      </x:c>
      <x:c r="AA100" s="146" t="n">
        <x:f>IF(OR(NOT(ISNUMBER(W100)),W100&lt;=0),"미정",Z100/W100)</x:f>
        <x:v>18.25</x:v>
      </x:c>
      <x:c r="AB100" s="145" t="n">
        <x:f>SUM(AB13,AB24,AB36,AB46)</x:f>
        <x:v>90</x:v>
      </x:c>
      <x:c r="AC100" s="145" t="n">
        <x:f>SUM(AC13,AC24,AC36,AC46)</x:f>
        <x:v>108</x:v>
      </x:c>
      <x:c r="AD100" s="145" t="n">
        <x:f>SUM(AD13,AD24,AD36,AD46)</x:f>
        <x:v>198</x:v>
      </x:c>
      <x:c r="AE100" s="146" t="n">
        <x:f>IF(OR(NOT(ISNUMBER(W100)),W100&lt;=0),"미정",AD100/W100)</x:f>
        <x:v>16.5</x:v>
      </x:c>
    </x:row>
    <x:row r="101" ht="30" customHeight="1">
      <x:c r="A101" s="78"/>
      <x:c r="B101" s="145" t="str">
        <x:v>과학 전체</x:v>
      </x:c>
      <x:c r="C101" s="145"/>
      <x:c r="D101" s="145"/>
      <x:c r="E101" s="145"/>
      <x:c r="F101" s="145"/>
      <x:c r="G101" s="145" t="n">
        <x:f>SUM(G56,G67,G78,G89)</x:f>
        <x:v>60</x:v>
      </x:c>
      <x:c r="H101" s="145"/>
      <x:c r="I101" s="145"/>
      <x:c r="J101" s="145" t="n">
        <x:f>SUM(J56,J67,J78,J89)</x:f>
        <x:v>60</x:v>
      </x:c>
      <x:c r="K101" s="145"/>
      <x:c r="L101" s="145"/>
      <x:c r="M101" s="145" t="n">
        <x:f>SUM(M56,M67,M78,M89)</x:f>
        <x:v>54</x:v>
      </x:c>
      <x:c r="N101" s="145"/>
      <x:c r="O101" s="145"/>
      <x:c r="P101" s="145" t="n">
        <x:f>SUM(P56,P67,P78,P89)</x:f>
        <x:v>54</x:v>
      </x:c>
      <x:c r="Q101" s="145"/>
      <x:c r="R101" s="145"/>
      <x:c r="S101" s="145" t="n">
        <x:f>SUM(S56,S67,S78,S89)</x:f>
        <x:v>51</x:v>
      </x:c>
      <x:c r="T101" s="145"/>
      <x:c r="U101" s="145"/>
      <x:c r="V101" s="145" t="n">
        <x:f>SUM(V56,V67,V78,V89)</x:f>
        <x:v>84</x:v>
      </x:c>
      <x:c r="W101" s="145" t="n">
        <x:f>IF(OR(COUNT(W56,W67,W78,W89)&lt;&gt;4,MIN(W56,W67,W78,W89)&lt;=0),"미정",SUM(W56,W67,W78,W89))</x:f>
        <x:v>11</x:v>
      </x:c>
      <x:c r="X101" s="145" t="n">
        <x:f>SUM(X56,X67,X78,X89)</x:f>
        <x:v>105</x:v>
      </x:c>
      <x:c r="Y101" s="145" t="n">
        <x:f>SUM(Y56,Y67,Y78,Y89)</x:f>
        <x:v>60</x:v>
      </x:c>
      <x:c r="Z101" s="145" t="n">
        <x:f>SUM(Z56,Z67,Z78,Z89)</x:f>
        <x:v>165</x:v>
      </x:c>
      <x:c r="AA101" s="146" t="n">
        <x:f>IF(OR(NOT(ISNUMBER(W101)),W101&lt;=0),"미정",Z101/W101)</x:f>
        <x:v>15</x:v>
      </x:c>
      <x:c r="AB101" s="145" t="n">
        <x:f>SUM(AB56,AB67,AB78,AB89)</x:f>
        <x:v>54</x:v>
      </x:c>
      <x:c r="AC101" s="145" t="n">
        <x:f>SUM(AC56,AC67,AC78,AC89)</x:f>
        <x:v>144</x:v>
      </x:c>
      <x:c r="AD101" s="145" t="n">
        <x:f>SUM(AD56,AD67,AD78,AD89)</x:f>
        <x:v>198</x:v>
      </x:c>
      <x:c r="AE101" s="146" t="n">
        <x:f>IF(OR(NOT(ISNUMBER(W101)),W101&lt;=0),"미정",AD101/W101)</x:f>
        <x:v>18</x:v>
      </x:c>
    </x:row>
    <x:row r="102" ht="24" customHeight="1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  <x:c r="AA102" s="78"/>
      <x:c r="AB102" s="78"/>
      <x:c r="AC102" s="78"/>
      <x:c r="AD102" s="78"/>
      <x:c r="AE102" s="78"/>
    </x:row>
    <x:row r="103" ht="24" customHeight="1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  <x:c r="AA103" s="78"/>
      <x:c r="AB103" s="78"/>
      <x:c r="AC103" s="78"/>
      <x:c r="AD103" s="78"/>
      <x:c r="AE103" s="78"/>
    </x:row>
    <x:row r="104" ht="24" customHeight="1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  <x:c r="AA104" s="78"/>
      <x:c r="AB104" s="78"/>
      <x:c r="AC104" s="78"/>
      <x:c r="AD104" s="78"/>
      <x:c r="AE104" s="78"/>
    </x:row>
    <x:row r="105" ht="28" customHeight="1">
      <x:c r="A105" s="78"/>
      <x:c r="B105" s="82" t="str">
        <x:v>2029학년도 변경안</x:v>
      </x:c>
      <x:c r="C105" s="82"/>
      <x:c r="D105" s="82"/>
      <x:c r="E105" s="82"/>
      <x:c r="F105" s="82"/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2"/>
      <x:c r="R105" s="82"/>
      <x:c r="S105" s="82"/>
      <x:c r="T105" s="82"/>
      <x:c r="U105" s="82"/>
      <x:c r="V105" s="82"/>
      <x:c r="W105" s="82"/>
      <x:c r="X105" s="82"/>
      <x:c r="Y105" s="82"/>
      <x:c r="Z105" s="82"/>
      <x:c r="AA105" s="82"/>
      <x:c r="AB105" s="82"/>
      <x:c r="AC105" s="82"/>
      <x:c r="AD105" s="82"/>
      <x:c r="AE105" s="82"/>
    </x:row>
    <x:row r="106" ht="26" customHeight="1">
      <x:c r="A106" s="78"/>
      <x:c r="B106" s="98" t="str">
        <x:v>담당 교과와 개설 과목</x:v>
      </x:c>
      <x:c r="C106" s="98"/>
      <x:c r="D106" s="98"/>
      <x:c r="E106" s="98" t="str">
        <x:v>1학년 (2029 입학생)</x:v>
      </x:c>
      <x:c r="F106" s="98"/>
      <x:c r="G106" s="98"/>
      <x:c r="H106" s="98"/>
      <x:c r="I106" s="98"/>
      <x:c r="J106" s="98"/>
      <x:c r="K106" s="98" t="str">
        <x:v>2학년 (2028 입학생)</x:v>
      </x:c>
      <x:c r="L106" s="98"/>
      <x:c r="M106" s="98"/>
      <x:c r="N106" s="98"/>
      <x:c r="O106" s="98"/>
      <x:c r="P106" s="98"/>
      <x:c r="Q106" s="98" t="str">
        <x:v>3학년 (2027 입학생)</x:v>
      </x:c>
      <x:c r="R106" s="98"/>
      <x:c r="S106" s="98"/>
      <x:c r="T106" s="98"/>
      <x:c r="U106" s="98"/>
      <x:c r="V106" s="98"/>
      <x:c r="W106" s="98" t="str">
        <x:v>교사
수</x:v>
      </x:c>
      <x:c r="X106" s="98" t="str">
        <x:v>1학기 교과별 시수와 평균</x:v>
      </x:c>
      <x:c r="Y106" s="98"/>
      <x:c r="Z106" s="98"/>
      <x:c r="AA106" s="98"/>
      <x:c r="AB106" s="98" t="str">
        <x:v>2학기 교과별 시수와 평균</x:v>
      </x:c>
      <x:c r="AC106" s="98"/>
      <x:c r="AD106" s="98"/>
      <x:c r="AE106" s="98"/>
    </x:row>
    <x:row r="107" ht="26" customHeight="1">
      <x:c r="A107" s="78"/>
      <x:c r="B107" s="98"/>
      <x:c r="C107" s="98"/>
      <x:c r="D107" s="98"/>
      <x:c r="E107" s="99" t="n">
        <x:v>12</x:v>
      </x:c>
      <x:c r="F107" s="98"/>
      <x:c r="G107" s="98"/>
      <x:c r="H107" s="98"/>
      <x:c r="I107" s="98"/>
      <x:c r="J107" s="98"/>
      <x:c r="K107" s="99" t="n">
        <x:v>12</x:v>
      </x:c>
      <x:c r="L107" s="98"/>
      <x:c r="M107" s="98"/>
      <x:c r="N107" s="98"/>
      <x:c r="O107" s="98"/>
      <x:c r="P107" s="98"/>
      <x:c r="Q107" s="99" t="n">
        <x:v>12</x:v>
      </x:c>
      <x:c r="R107" s="98"/>
      <x:c r="S107" s="98"/>
      <x:c r="T107" s="98"/>
      <x:c r="U107" s="98"/>
      <x:c r="V107" s="98"/>
      <x:c r="W107" s="98"/>
      <x:c r="X107" s="98"/>
      <x:c r="Y107" s="98"/>
      <x:c r="Z107" s="98"/>
      <x:c r="AA107" s="98"/>
      <x:c r="AB107" s="98"/>
      <x:c r="AC107" s="98"/>
      <x:c r="AD107" s="98"/>
      <x:c r="AE107" s="98"/>
    </x:row>
    <x:row r="108" ht="26" customHeight="1">
      <x:c r="A108" s="78"/>
      <x:c r="B108" s="98" t="str">
        <x:v>담당
교과</x:v>
      </x:c>
      <x:c r="C108" s="98" t="str">
        <x:v>구분</x:v>
      </x:c>
      <x:c r="D108" s="98" t="str">
        <x:v>과목명</x:v>
      </x:c>
      <x:c r="E108" s="98" t="str">
        <x:v>1학기</x:v>
      </x:c>
      <x:c r="F108" s="98"/>
      <x:c r="G108" s="98"/>
      <x:c r="H108" s="98" t="str">
        <x:v>2학기</x:v>
      </x:c>
      <x:c r="I108" s="98"/>
      <x:c r="J108" s="98"/>
      <x:c r="K108" s="98" t="str">
        <x:v>1학기</x:v>
      </x:c>
      <x:c r="L108" s="98"/>
      <x:c r="M108" s="98"/>
      <x:c r="N108" s="98" t="str">
        <x:v>2학기</x:v>
      </x:c>
      <x:c r="O108" s="98"/>
      <x:c r="P108" s="98"/>
      <x:c r="Q108" s="98" t="str">
        <x:v>1학기</x:v>
      </x:c>
      <x:c r="R108" s="98"/>
      <x:c r="S108" s="98"/>
      <x:c r="T108" s="98" t="str">
        <x:v>2학기</x:v>
      </x:c>
      <x:c r="U108" s="98"/>
      <x:c r="V108" s="98"/>
      <x:c r="W108" s="98"/>
      <x:c r="X108" s="98" t="str">
        <x:v>자체
시수</x:v>
      </x:c>
      <x:c r="Y108" s="98" t="str">
        <x:v>배정
시수</x:v>
      </x:c>
      <x:c r="Z108" s="98" t="str">
        <x:v>총시수</x:v>
      </x:c>
      <x:c r="AA108" s="98" t="str">
        <x:v>교사 1인
평균</x:v>
      </x:c>
      <x:c r="AB108" s="98" t="str">
        <x:v>자체
시수</x:v>
      </x:c>
      <x:c r="AC108" s="98" t="str">
        <x:v>배정
시수</x:v>
      </x:c>
      <x:c r="AD108" s="98" t="str">
        <x:v>총시수</x:v>
      </x:c>
      <x:c r="AE108" s="98" t="str">
        <x:v>교사 1인
평균</x:v>
      </x:c>
    </x:row>
    <x:row r="109" ht="26" customHeight="1">
      <x:c r="A109" s="78"/>
      <x:c r="B109" s="98"/>
      <x:c r="C109" s="98"/>
      <x:c r="D109" s="98"/>
      <x:c r="E109" s="98" t="str">
        <x:v>반당
시수</x:v>
      </x:c>
      <x:c r="F109" s="98" t="str">
        <x:v>개설
반 수</x:v>
      </x:c>
      <x:c r="G109" s="98" t="str">
        <x:v>교과
시수</x:v>
      </x:c>
      <x:c r="H109" s="98" t="str">
        <x:v>반당
시수</x:v>
      </x:c>
      <x:c r="I109" s="98" t="str">
        <x:v>개설
반 수</x:v>
      </x:c>
      <x:c r="J109" s="98" t="str">
        <x:v>교과
시수</x:v>
      </x:c>
      <x:c r="K109" s="98" t="str">
        <x:v>반당
시수</x:v>
      </x:c>
      <x:c r="L109" s="98" t="str">
        <x:v>개설
반 수</x:v>
      </x:c>
      <x:c r="M109" s="98" t="str">
        <x:v>교과
시수</x:v>
      </x:c>
      <x:c r="N109" s="98" t="str">
        <x:v>반당
시수</x:v>
      </x:c>
      <x:c r="O109" s="98" t="str">
        <x:v>개설
반 수</x:v>
      </x:c>
      <x:c r="P109" s="98" t="str">
        <x:v>교과
시수</x:v>
      </x:c>
      <x:c r="Q109" s="98" t="str">
        <x:v>반당
시수</x:v>
      </x:c>
      <x:c r="R109" s="98" t="str">
        <x:v>개설
반 수</x:v>
      </x:c>
      <x:c r="S109" s="98" t="str">
        <x:v>교과
시수</x:v>
      </x:c>
      <x:c r="T109" s="98" t="str">
        <x:v>반당
시수</x:v>
      </x:c>
      <x:c r="U109" s="98" t="str">
        <x:v>개설
반 수</x:v>
      </x:c>
      <x:c r="V109" s="98" t="str">
        <x:v>교과
시수</x:v>
      </x:c>
      <x:c r="W109" s="98"/>
      <x:c r="X109" s="98"/>
      <x:c r="Y109" s="98"/>
      <x:c r="Z109" s="98"/>
      <x:c r="AA109" s="98"/>
      <x:c r="AB109" s="98"/>
      <x:c r="AC109" s="98"/>
      <x:c r="AD109" s="98"/>
      <x:c r="AE109" s="98"/>
    </x:row>
    <x:row r="110" ht="30" customHeight="1">
      <x:c r="A110" s="78"/>
      <x:c r="B110" s="141" t="str">
        <x:v>역사 합계</x:v>
      </x:c>
      <x:c r="C110" s="141"/>
      <x:c r="D110" s="141"/>
      <x:c r="E110" s="141"/>
      <x:c r="F110" s="141"/>
      <x:c r="G110" s="141" t="n">
        <x:f>SUM(G111,G115)</x:f>
        <x:v>36</x:v>
      </x:c>
      <x:c r="H110" s="141"/>
      <x:c r="I110" s="141"/>
      <x:c r="J110" s="141" t="n">
        <x:f>SUM(J113,J117)</x:f>
        <x:v>44</x:v>
      </x:c>
      <x:c r="K110" s="141"/>
      <x:c r="L110" s="141"/>
      <x:c r="M110" s="141" t="n">
        <x:f>SUM(M112)</x:f>
        <x:v>9</x:v>
      </x:c>
      <x:c r="N110" s="141"/>
      <x:c r="O110" s="141"/>
      <x:c r="P110" s="141" t="n">
        <x:f>SUM(P114)</x:f>
        <x:v>6</x:v>
      </x:c>
      <x:c r="Q110" s="141"/>
      <x:c r="R110" s="141"/>
      <x:c r="S110" s="141" t="n">
        <x:f>SUM(S116)</x:f>
        <x:v>15</x:v>
      </x:c>
      <x:c r="T110" s="141"/>
      <x:c r="U110" s="141"/>
      <x:c r="V110" s="141" t="n">
        <x:f>SUM(V118,V119,V120)</x:f>
        <x:v>0</x:v>
      </x:c>
      <x:c r="W110" s="141" t="n">
        <x:f>IF(ISNUMBER('산정근거'!C12),'산정근거'!C12,"미정")</x:f>
        <x:v>3</x:v>
      </x:c>
      <x:c r="X110" s="143" t="n">
        <x:f>SUM(G111,M112)</x:f>
        <x:v>45</x:v>
      </x:c>
      <x:c r="Y110" s="143" t="n">
        <x:f>SUM(G115,S116)</x:f>
        <x:v>15</x:v>
      </x:c>
      <x:c r="Z110" s="143" t="n">
        <x:f>X110+Y110</x:f>
        <x:v>60</x:v>
      </x:c>
      <x:c r="AA110" s="144" t="n">
        <x:f>IF(OR(NOT(ISNUMBER(W110)),W110&lt;=0),"미정",Z110/W110)</x:f>
        <x:v>20</x:v>
      </x:c>
      <x:c r="AB110" s="143" t="n">
        <x:f>SUM(J113,P114)</x:f>
        <x:v>42</x:v>
      </x:c>
      <x:c r="AC110" s="143" t="n">
        <x:f>SUM(J117,V118,V119,V120)</x:f>
        <x:v>8</x:v>
      </x:c>
      <x:c r="AD110" s="143" t="n">
        <x:f>AB110+AC110</x:f>
        <x:v>50</x:v>
      </x:c>
      <x:c r="AE110" s="144" t="n">
        <x:f>IF(OR(NOT(ISNUMBER(W110)),W110&lt;=0),"미정",AD110/W110)</x:f>
        <x:v>16.666666666666668</x:v>
      </x:c>
    </x:row>
    <x:row r="111" ht="24" customHeight="1">
      <x:c r="A111" s="78"/>
      <x:c r="B111" s="103" t="str">
        <x:v>역사</x:v>
      </x:c>
      <x:c r="C111" s="104" t="str">
        <x:v>자체</x:v>
      </x:c>
      <x:c r="D111" s="81" t="str">
        <x:v>한국사1</x:v>
      </x:c>
      <x:c r="E111" s="124" t="n">
        <x:f>'기존안 과목내역'!I106</x:f>
        <x:v>3</x:v>
      </x:c>
      <x:c r="F111" s="125" t="n">
        <x:f>'기존안 과목내역'!J106</x:f>
        <x:v>12</x:v>
      </x:c>
      <x:c r="G111" s="133" t="n">
        <x:f>E111*F111</x:f>
        <x:v>36</x:v>
      </x:c>
      <x:c r="H111" s="125"/>
      <x:c r="I111" s="125"/>
      <x:c r="J111" s="133"/>
      <x:c r="K111" s="125"/>
      <x:c r="L111" s="125"/>
      <x:c r="M111" s="133"/>
      <x:c r="N111" s="125"/>
      <x:c r="O111" s="125"/>
      <x:c r="P111" s="133"/>
      <x:c r="Q111" s="125"/>
      <x:c r="R111" s="125"/>
      <x:c r="S111" s="133"/>
      <x:c r="T111" s="125"/>
      <x:c r="U111" s="125"/>
      <x:c r="V111" s="136"/>
      <x:c r="W111" s="78"/>
      <x:c r="X111" s="78"/>
      <x:c r="Y111" s="78"/>
      <x:c r="Z111" s="78"/>
      <x:c r="AA111" s="78"/>
      <x:c r="AB111" s="78"/>
      <x:c r="AC111" s="78"/>
      <x:c r="AD111" s="78"/>
      <x:c r="AE111" s="78"/>
    </x:row>
    <x:row r="112" ht="24" customHeight="1">
      <x:c r="A112" s="78"/>
      <x:c r="B112" s="103"/>
      <x:c r="C112" s="104" t="str">
        <x:v>자체</x:v>
      </x:c>
      <x:c r="D112" s="81" t="str">
        <x:v>세계사</x:v>
      </x:c>
      <x:c r="E112" s="127"/>
      <x:c r="F112" s="128"/>
      <x:c r="G112" s="134"/>
      <x:c r="H112" s="128"/>
      <x:c r="I112" s="128"/>
      <x:c r="J112" s="134"/>
      <x:c r="K112" s="128" t="n">
        <x:f>'기존안 과목내역'!I111</x:f>
        <x:v>3</x:v>
      </x:c>
      <x:c r="L112" s="128" t="n">
        <x:f>'기존안 과목내역'!J111</x:f>
        <x:v>3</x:v>
      </x:c>
      <x:c r="M112" s="134" t="n">
        <x:f>K112*L112</x:f>
        <x:v>9</x:v>
      </x:c>
      <x:c r="N112" s="128"/>
      <x:c r="O112" s="128"/>
      <x:c r="P112" s="134"/>
      <x:c r="Q112" s="128"/>
      <x:c r="R112" s="128"/>
      <x:c r="S112" s="134"/>
      <x:c r="T112" s="128"/>
      <x:c r="U112" s="128"/>
      <x:c r="V112" s="137"/>
      <x:c r="W112" s="78"/>
      <x:c r="X112" s="78"/>
      <x:c r="Y112" s="78"/>
      <x:c r="Z112" s="78"/>
      <x:c r="AA112" s="78"/>
      <x:c r="AB112" s="78"/>
      <x:c r="AC112" s="78"/>
      <x:c r="AD112" s="78"/>
      <x:c r="AE112" s="78"/>
    </x:row>
    <x:row r="113" ht="24" customHeight="1">
      <x:c r="A113" s="78"/>
      <x:c r="B113" s="103"/>
      <x:c r="C113" s="104" t="str">
        <x:v>자체</x:v>
      </x:c>
      <x:c r="D113" s="81" t="str">
        <x:v>한국사2</x:v>
      </x:c>
      <x:c r="E113" s="127"/>
      <x:c r="F113" s="128"/>
      <x:c r="G113" s="134"/>
      <x:c r="H113" s="128" t="n">
        <x:f>'기존안 과목내역'!I127</x:f>
        <x:v>3</x:v>
      </x:c>
      <x:c r="I113" s="128" t="n">
        <x:f>'기존안 과목내역'!J127</x:f>
        <x:v>12</x:v>
      </x:c>
      <x:c r="J113" s="134" t="n">
        <x:f>H113*I113</x:f>
        <x:v>36</x:v>
      </x:c>
      <x:c r="K113" s="128"/>
      <x:c r="L113" s="128"/>
      <x:c r="M113" s="134"/>
      <x:c r="N113" s="128"/>
      <x:c r="O113" s="128"/>
      <x:c r="P113" s="134"/>
      <x:c r="Q113" s="128"/>
      <x:c r="R113" s="128"/>
      <x:c r="S113" s="134"/>
      <x:c r="T113" s="128"/>
      <x:c r="U113" s="128"/>
      <x:c r="V113" s="137"/>
      <x:c r="W113" s="78"/>
      <x:c r="X113" s="78"/>
      <x:c r="Y113" s="78"/>
      <x:c r="Z113" s="78"/>
      <x:c r="AA113" s="78"/>
      <x:c r="AB113" s="78"/>
      <x:c r="AC113" s="78"/>
      <x:c r="AD113" s="78"/>
      <x:c r="AE113" s="78"/>
    </x:row>
    <x:row r="114" ht="24" customHeight="1">
      <x:c r="A114" s="78"/>
      <x:c r="B114" s="103"/>
      <x:c r="C114" s="104" t="str">
        <x:v>자체</x:v>
      </x:c>
      <x:c r="D114" s="81" t="str">
        <x:v>동아시아 역사 기행</x:v>
      </x:c>
      <x:c r="E114" s="127"/>
      <x:c r="F114" s="128"/>
      <x:c r="G114" s="134"/>
      <x:c r="H114" s="128"/>
      <x:c r="I114" s="128"/>
      <x:c r="J114" s="134"/>
      <x:c r="K114" s="128"/>
      <x:c r="L114" s="128"/>
      <x:c r="M114" s="134"/>
      <x:c r="N114" s="128" t="n">
        <x:f>'기존안 과목내역'!I131</x:f>
        <x:v>3</x:v>
      </x:c>
      <x:c r="O114" s="128" t="n">
        <x:f>'기존안 과목내역'!J131</x:f>
        <x:v>2</x:v>
      </x:c>
      <x:c r="P114" s="134" t="n">
        <x:f>N114*O114</x:f>
        <x:v>6</x:v>
      </x:c>
      <x:c r="Q114" s="128"/>
      <x:c r="R114" s="128"/>
      <x:c r="S114" s="134"/>
      <x:c r="T114" s="128"/>
      <x:c r="U114" s="128"/>
      <x:c r="V114" s="137"/>
      <x:c r="W114" s="78"/>
      <x:c r="X114" s="78"/>
      <x:c r="Y114" s="78"/>
      <x:c r="Z114" s="78"/>
      <x:c r="AA114" s="78"/>
      <x:c r="AB114" s="78"/>
      <x:c r="AC114" s="78"/>
      <x:c r="AD114" s="78"/>
      <x:c r="AE114" s="78"/>
    </x:row>
    <x:row r="115" ht="24" customHeight="1">
      <x:c r="A115" s="78"/>
      <x:c r="B115" s="103"/>
      <x:c r="C115" s="105" t="str">
        <x:v>통합</x:v>
      </x:c>
      <x:c r="D115" s="101" t="str">
        <x:v>통합사회1</x:v>
      </x:c>
      <x:c r="E115" s="127" t="n">
        <x:f>'기존안 과목내역'!I107</x:f>
        <x:v>4</x:v>
      </x:c>
      <x:c r="F115" s="128" t="n">
        <x:f>'공통융합 배정'!I31</x:f>
        <x:v>0</x:v>
      </x:c>
      <x:c r="G115" s="134" t="n">
        <x:f>'공통융합 배정'!J31</x:f>
        <x:v>0</x:v>
      </x:c>
      <x:c r="H115" s="128"/>
      <x:c r="I115" s="128"/>
      <x:c r="J115" s="134"/>
      <x:c r="K115" s="128"/>
      <x:c r="L115" s="128"/>
      <x:c r="M115" s="134"/>
      <x:c r="N115" s="128"/>
      <x:c r="O115" s="128"/>
      <x:c r="P115" s="134"/>
      <x:c r="Q115" s="128"/>
      <x:c r="R115" s="128"/>
      <x:c r="S115" s="134"/>
      <x:c r="T115" s="128"/>
      <x:c r="U115" s="128"/>
      <x:c r="V115" s="137"/>
      <x:c r="W115" s="78"/>
      <x:c r="X115" s="78"/>
      <x:c r="Y115" s="78"/>
      <x:c r="Z115" s="78"/>
      <x:c r="AA115" s="78"/>
      <x:c r="AB115" s="78"/>
      <x:c r="AC115" s="78"/>
      <x:c r="AD115" s="78"/>
      <x:c r="AE115" s="78"/>
    </x:row>
    <x:row r="116" ht="24" customHeight="1">
      <x:c r="A116" s="78"/>
      <x:c r="B116" s="103"/>
      <x:c r="C116" s="105" t="str">
        <x:v>융합</x:v>
      </x:c>
      <x:c r="D116" s="101" t="str">
        <x:v>역사로 탐구하는 현대 세계</x:v>
      </x:c>
      <x:c r="E116" s="127"/>
      <x:c r="F116" s="128"/>
      <x:c r="G116" s="134"/>
      <x:c r="H116" s="128"/>
      <x:c r="I116" s="128"/>
      <x:c r="J116" s="134"/>
      <x:c r="K116" s="128"/>
      <x:c r="L116" s="128"/>
      <x:c r="M116" s="134"/>
      <x:c r="N116" s="128"/>
      <x:c r="O116" s="128"/>
      <x:c r="P116" s="134"/>
      <x:c r="Q116" s="128" t="n">
        <x:f>'기존안 과목내역'!I122</x:f>
        <x:v>3</x:v>
      </x:c>
      <x:c r="R116" s="128" t="n">
        <x:f>'공통융합 배정'!I32</x:f>
        <x:v>5</x:v>
      </x:c>
      <x:c r="S116" s="134" t="n">
        <x:f>'공통융합 배정'!J32</x:f>
        <x:v>15</x:v>
      </x:c>
      <x:c r="T116" s="128"/>
      <x:c r="U116" s="128"/>
      <x:c r="V116" s="137"/>
      <x:c r="W116" s="78"/>
      <x:c r="X116" s="78"/>
      <x:c r="Y116" s="78"/>
      <x:c r="Z116" s="78"/>
      <x:c r="AA116" s="78"/>
      <x:c r="AB116" s="78"/>
      <x:c r="AC116" s="78"/>
      <x:c r="AD116" s="78"/>
      <x:c r="AE116" s="78"/>
    </x:row>
    <x:row r="117" ht="24" customHeight="1">
      <x:c r="A117" s="78"/>
      <x:c r="B117" s="103"/>
      <x:c r="C117" s="105" t="str">
        <x:v>통합</x:v>
      </x:c>
      <x:c r="D117" s="101" t="str">
        <x:v>통합사회2</x:v>
      </x:c>
      <x:c r="E117" s="127"/>
      <x:c r="F117" s="128"/>
      <x:c r="G117" s="134"/>
      <x:c r="H117" s="128" t="n">
        <x:f>'기존안 과목내역'!I128</x:f>
        <x:v>4</x:v>
      </x:c>
      <x:c r="I117" s="128" t="n">
        <x:f>'공통융합 배정'!I33</x:f>
        <x:v>2</x:v>
      </x:c>
      <x:c r="J117" s="134" t="n">
        <x:f>'공통융합 배정'!J33</x:f>
        <x:v>8</x:v>
      </x:c>
      <x:c r="K117" s="128"/>
      <x:c r="L117" s="128"/>
      <x:c r="M117" s="134"/>
      <x:c r="N117" s="128"/>
      <x:c r="O117" s="128"/>
      <x:c r="P117" s="134"/>
      <x:c r="Q117" s="128"/>
      <x:c r="R117" s="128"/>
      <x:c r="S117" s="134"/>
      <x:c r="T117" s="128"/>
      <x:c r="U117" s="128"/>
      <x:c r="V117" s="137"/>
      <x:c r="W117" s="78"/>
      <x:c r="X117" s="78"/>
      <x:c r="Y117" s="78"/>
      <x:c r="Z117" s="78"/>
      <x:c r="AA117" s="78"/>
      <x:c r="AB117" s="78"/>
      <x:c r="AC117" s="78"/>
      <x:c r="AD117" s="78"/>
      <x:c r="AE117" s="78"/>
    </x:row>
    <x:row r="118" ht="24" customHeight="1">
      <x:c r="A118" s="78"/>
      <x:c r="B118" s="103"/>
      <x:c r="C118" s="105" t="str">
        <x:v>융합</x:v>
      </x:c>
      <x:c r="D118" s="101" t="str">
        <x:v>사회문제 탐구</x:v>
      </x:c>
      <x:c r="E118" s="127"/>
      <x:c r="F118" s="128"/>
      <x:c r="G118" s="134"/>
      <x:c r="H118" s="128"/>
      <x:c r="I118" s="128"/>
      <x:c r="J118" s="134"/>
      <x:c r="K118" s="128"/>
      <x:c r="L118" s="128"/>
      <x:c r="M118" s="134"/>
      <x:c r="N118" s="128"/>
      <x:c r="O118" s="128"/>
      <x:c r="P118" s="134"/>
      <x:c r="Q118" s="128"/>
      <x:c r="R118" s="128"/>
      <x:c r="S118" s="134"/>
      <x:c r="T118" s="128" t="n">
        <x:f>'기존안 과목내역'!I141</x:f>
        <x:v>3</x:v>
      </x:c>
      <x:c r="U118" s="128" t="n">
        <x:f>'공통융합 배정'!I34</x:f>
        <x:v>0</x:v>
      </x:c>
      <x:c r="V118" s="137" t="n">
        <x:f>'공통융합 배정'!J34</x:f>
        <x:v>0</x:v>
      </x:c>
      <x:c r="W118" s="78"/>
      <x:c r="X118" s="78"/>
      <x:c r="Y118" s="78"/>
      <x:c r="Z118" s="78"/>
      <x:c r="AA118" s="78"/>
      <x:c r="AB118" s="78"/>
      <x:c r="AC118" s="78"/>
      <x:c r="AD118" s="78"/>
      <x:c r="AE118" s="78"/>
    </x:row>
    <x:row r="119" ht="24" customHeight="1">
      <x:c r="A119" s="78"/>
      <x:c r="B119" s="103"/>
      <x:c r="C119" s="105" t="str">
        <x:v>융합</x:v>
      </x:c>
      <x:c r="D119" s="101" t="str">
        <x:v>여행지리</x:v>
      </x:c>
      <x:c r="E119" s="127"/>
      <x:c r="F119" s="128"/>
      <x:c r="G119" s="134"/>
      <x:c r="H119" s="128"/>
      <x:c r="I119" s="128"/>
      <x:c r="J119" s="134"/>
      <x:c r="K119" s="128"/>
      <x:c r="L119" s="128"/>
      <x:c r="M119" s="134"/>
      <x:c r="N119" s="128"/>
      <x:c r="O119" s="128"/>
      <x:c r="P119" s="134"/>
      <x:c r="Q119" s="128"/>
      <x:c r="R119" s="128"/>
      <x:c r="S119" s="134"/>
      <x:c r="T119" s="128" t="n">
        <x:f>'기존안 과목내역'!I142</x:f>
        <x:v>3</x:v>
      </x:c>
      <x:c r="U119" s="128" t="n">
        <x:f>'공통융합 배정'!I35</x:f>
        <x:v>0</x:v>
      </x:c>
      <x:c r="V119" s="137" t="n">
        <x:f>'공통융합 배정'!J35</x:f>
        <x:v>0</x:v>
      </x:c>
      <x:c r="W119" s="78"/>
      <x:c r="X119" s="78"/>
      <x:c r="Y119" s="78"/>
      <x:c r="Z119" s="78"/>
      <x:c r="AA119" s="78"/>
      <x:c r="AB119" s="78"/>
      <x:c r="AC119" s="78"/>
      <x:c r="AD119" s="78"/>
      <x:c r="AE119" s="78"/>
    </x:row>
    <x:row r="120" ht="24" customHeight="1">
      <x:c r="A120" s="78"/>
      <x:c r="B120" s="103"/>
      <x:c r="C120" s="105" t="str">
        <x:v>융합</x:v>
      </x:c>
      <x:c r="D120" s="101" t="str">
        <x:v>윤리문제 탐구</x:v>
      </x:c>
      <x:c r="E120" s="130"/>
      <x:c r="F120" s="131"/>
      <x:c r="G120" s="135"/>
      <x:c r="H120" s="131"/>
      <x:c r="I120" s="131"/>
      <x:c r="J120" s="135"/>
      <x:c r="K120" s="131"/>
      <x:c r="L120" s="131"/>
      <x:c r="M120" s="135"/>
      <x:c r="N120" s="131"/>
      <x:c r="O120" s="131"/>
      <x:c r="P120" s="135"/>
      <x:c r="Q120" s="131"/>
      <x:c r="R120" s="131"/>
      <x:c r="S120" s="135"/>
      <x:c r="T120" s="131" t="n">
        <x:f>'기존안 과목내역'!I143</x:f>
        <x:v>3</x:v>
      </x:c>
      <x:c r="U120" s="131" t="n">
        <x:f>'공통융합 배정'!I36</x:f>
        <x:v>0</x:v>
      </x:c>
      <x:c r="V120" s="138" t="n">
        <x:f>'공통융합 배정'!J36</x:f>
        <x:v>0</x:v>
      </x:c>
      <x:c r="W120" s="78"/>
      <x:c r="X120" s="78"/>
      <x:c r="Y120" s="78"/>
      <x:c r="Z120" s="78"/>
      <x:c r="AA120" s="78"/>
      <x:c r="AB120" s="78"/>
      <x:c r="AC120" s="78"/>
      <x:c r="AD120" s="78"/>
      <x:c r="AE120" s="78"/>
    </x:row>
    <x:row r="121" ht="30" customHeight="1">
      <x:c r="A121" s="78"/>
      <x:c r="B121" s="141" t="str">
        <x:v>일반사회 합계</x:v>
      </x:c>
      <x:c r="C121" s="141"/>
      <x:c r="D121" s="141"/>
      <x:c r="E121" s="141"/>
      <x:c r="F121" s="141"/>
      <x:c r="G121" s="141" t="n">
        <x:f>SUM(G127)</x:f>
        <x:v>20</x:v>
      </x:c>
      <x:c r="H121" s="141"/>
      <x:c r="I121" s="141"/>
      <x:c r="J121" s="141" t="n">
        <x:f>SUM(J129)</x:f>
        <x:v>12</x:v>
      </x:c>
      <x:c r="K121" s="141"/>
      <x:c r="L121" s="141"/>
      <x:c r="M121" s="141" t="n">
        <x:f>SUM(M122)</x:f>
        <x:v>18</x:v>
      </x:c>
      <x:c r="N121" s="141"/>
      <x:c r="O121" s="141"/>
      <x:c r="P121" s="141" t="n">
        <x:f>SUM(P125,P126)</x:f>
        <x:v>27</x:v>
      </x:c>
      <x:c r="Q121" s="141"/>
      <x:c r="R121" s="141"/>
      <x:c r="S121" s="141" t="n">
        <x:f>SUM(S123,S124,S128)</x:f>
        <x:v>30</x:v>
      </x:c>
      <x:c r="T121" s="141"/>
      <x:c r="U121" s="141"/>
      <x:c r="V121" s="141" t="n">
        <x:f>SUM(V130,V131,V132)</x:f>
        <x:v>27</x:v>
      </x:c>
      <x:c r="W121" s="141" t="n">
        <x:f>IF(ISNUMBER('산정근거'!C10),'산정근거'!C10,"미정")</x:f>
        <x:v>4</x:v>
      </x:c>
      <x:c r="X121" s="143" t="n">
        <x:f>SUM(M122,S123,S124)</x:f>
        <x:v>48</x:v>
      </x:c>
      <x:c r="Y121" s="143" t="n">
        <x:f>SUM(G127,S128)</x:f>
        <x:v>20</x:v>
      </x:c>
      <x:c r="Z121" s="143" t="n">
        <x:f>X121+Y121</x:f>
        <x:v>68</x:v>
      </x:c>
      <x:c r="AA121" s="144" t="n">
        <x:f>IF(OR(NOT(ISNUMBER(W121)),W121&lt;=0),"미정",Z121/W121)</x:f>
        <x:v>17</x:v>
      </x:c>
      <x:c r="AB121" s="143" t="n">
        <x:f>SUM(P125,P126)</x:f>
        <x:v>27</x:v>
      </x:c>
      <x:c r="AC121" s="143" t="n">
        <x:f>SUM(J129,V130,V131,V132)</x:f>
        <x:v>39</x:v>
      </x:c>
      <x:c r="AD121" s="143" t="n">
        <x:f>AB121+AC121</x:f>
        <x:v>66</x:v>
      </x:c>
      <x:c r="AE121" s="144" t="n">
        <x:f>IF(OR(NOT(ISNUMBER(W121)),W121&lt;=0),"미정",AD121/W121)</x:f>
        <x:v>16.5</x:v>
      </x:c>
    </x:row>
    <x:row r="122" ht="24" customHeight="1">
      <x:c r="A122" s="78"/>
      <x:c r="B122" s="103" t="str">
        <x:v>일반사회</x:v>
      </x:c>
      <x:c r="C122" s="104" t="str">
        <x:v>자체</x:v>
      </x:c>
      <x:c r="D122" s="81" t="str">
        <x:v>사회와 문화</x:v>
      </x:c>
      <x:c r="E122" s="124"/>
      <x:c r="F122" s="125"/>
      <x:c r="G122" s="133"/>
      <x:c r="H122" s="125"/>
      <x:c r="I122" s="125"/>
      <x:c r="J122" s="133"/>
      <x:c r="K122" s="125" t="n">
        <x:f>'기존안 과목내역'!I110</x:f>
        <x:v>3</x:v>
      </x:c>
      <x:c r="L122" s="125" t="n">
        <x:f>'기존안 과목내역'!J110</x:f>
        <x:v>6</x:v>
      </x:c>
      <x:c r="M122" s="133" t="n">
        <x:f>K122*L122</x:f>
        <x:v>18</x:v>
      </x:c>
      <x:c r="N122" s="125"/>
      <x:c r="O122" s="125"/>
      <x:c r="P122" s="133"/>
      <x:c r="Q122" s="125"/>
      <x:c r="R122" s="125"/>
      <x:c r="S122" s="133"/>
      <x:c r="T122" s="125"/>
      <x:c r="U122" s="125"/>
      <x:c r="V122" s="136"/>
      <x:c r="W122" s="78"/>
      <x:c r="X122" s="78"/>
      <x:c r="Y122" s="78"/>
      <x:c r="Z122" s="78"/>
      <x:c r="AA122" s="78"/>
      <x:c r="AB122" s="78"/>
      <x:c r="AC122" s="78"/>
      <x:c r="AD122" s="78"/>
      <x:c r="AE122" s="78"/>
    </x:row>
    <x:row r="123" ht="24" customHeight="1">
      <x:c r="A123" s="78"/>
      <x:c r="B123" s="103"/>
      <x:c r="C123" s="104" t="str">
        <x:v>자체</x:v>
      </x:c>
      <x:c r="D123" s="81" t="str">
        <x:v>경제</x:v>
      </x:c>
      <x:c r="E123" s="127"/>
      <x:c r="F123" s="128"/>
      <x:c r="G123" s="134"/>
      <x:c r="H123" s="128"/>
      <x:c r="I123" s="128"/>
      <x:c r="J123" s="134"/>
      <x:c r="K123" s="128"/>
      <x:c r="L123" s="128"/>
      <x:c r="M123" s="134"/>
      <x:c r="N123" s="128"/>
      <x:c r="O123" s="128"/>
      <x:c r="P123" s="134"/>
      <x:c r="Q123" s="128" t="n">
        <x:f>'기존안 과목내역'!I118</x:f>
        <x:v>3</x:v>
      </x:c>
      <x:c r="R123" s="128" t="n">
        <x:f>'선택군비교'!H18</x:f>
        <x:v>4</x:v>
      </x:c>
      <x:c r="S123" s="134" t="n">
        <x:f>Q123*R123</x:f>
        <x:v>12</x:v>
      </x:c>
      <x:c r="T123" s="128"/>
      <x:c r="U123" s="128"/>
      <x:c r="V123" s="137"/>
      <x:c r="W123" s="78"/>
      <x:c r="X123" s="78"/>
      <x:c r="Y123" s="78"/>
      <x:c r="Z123" s="78"/>
      <x:c r="AA123" s="78"/>
      <x:c r="AB123" s="78"/>
      <x:c r="AC123" s="78"/>
      <x:c r="AD123" s="78"/>
      <x:c r="AE123" s="78"/>
    </x:row>
    <x:row r="124" ht="24" customHeight="1">
      <x:c r="A124" s="78"/>
      <x:c r="B124" s="103"/>
      <x:c r="C124" s="104" t="str">
        <x:v>자체</x:v>
      </x:c>
      <x:c r="D124" s="81" t="str">
        <x:v>국제 관계의 이해</x:v>
      </x:c>
      <x:c r="E124" s="127"/>
      <x:c r="F124" s="128"/>
      <x:c r="G124" s="134"/>
      <x:c r="H124" s="128"/>
      <x:c r="I124" s="128"/>
      <x:c r="J124" s="134"/>
      <x:c r="K124" s="128"/>
      <x:c r="L124" s="128"/>
      <x:c r="M124" s="134"/>
      <x:c r="N124" s="128"/>
      <x:c r="O124" s="128"/>
      <x:c r="P124" s="134"/>
      <x:c r="Q124" s="128" t="n">
        <x:f>'기존안 과목내역'!I119</x:f>
        <x:v>3</x:v>
      </x:c>
      <x:c r="R124" s="128" t="n">
        <x:f>'선택군비교'!H20</x:f>
        <x:v>6</x:v>
      </x:c>
      <x:c r="S124" s="134" t="n">
        <x:f>Q124*R124</x:f>
        <x:v>18</x:v>
      </x:c>
      <x:c r="T124" s="128"/>
      <x:c r="U124" s="128"/>
      <x:c r="V124" s="137"/>
      <x:c r="W124" s="78"/>
      <x:c r="X124" s="78"/>
      <x:c r="Y124" s="78"/>
      <x:c r="Z124" s="78"/>
      <x:c r="AA124" s="78"/>
      <x:c r="AB124" s="78"/>
      <x:c r="AC124" s="78"/>
      <x:c r="AD124" s="78"/>
      <x:c r="AE124" s="78"/>
    </x:row>
    <x:row r="125" ht="24" customHeight="1">
      <x:c r="A125" s="78"/>
      <x:c r="B125" s="103"/>
      <x:c r="C125" s="104" t="str">
        <x:v>자체</x:v>
      </x:c>
      <x:c r="D125" s="81" t="str">
        <x:v>법과 사회</x:v>
      </x:c>
      <x:c r="E125" s="127"/>
      <x:c r="F125" s="128"/>
      <x:c r="G125" s="134"/>
      <x:c r="H125" s="128"/>
      <x:c r="I125" s="128"/>
      <x:c r="J125" s="134"/>
      <x:c r="K125" s="128"/>
      <x:c r="L125" s="128"/>
      <x:c r="M125" s="134"/>
      <x:c r="N125" s="128" t="n">
        <x:f>'기존안 과목내역'!I132</x:f>
        <x:v>3</x:v>
      </x:c>
      <x:c r="O125" s="128" t="n">
        <x:f>'기존안 과목내역'!J132</x:f>
        <x:v>5</x:v>
      </x:c>
      <x:c r="P125" s="134" t="n">
        <x:f>N125*O125</x:f>
        <x:v>15</x:v>
      </x:c>
      <x:c r="Q125" s="128"/>
      <x:c r="R125" s="128"/>
      <x:c r="S125" s="134"/>
      <x:c r="T125" s="128"/>
      <x:c r="U125" s="128"/>
      <x:c r="V125" s="137"/>
      <x:c r="W125" s="78"/>
      <x:c r="X125" s="78"/>
      <x:c r="Y125" s="78"/>
      <x:c r="Z125" s="78"/>
      <x:c r="AA125" s="78"/>
      <x:c r="AB125" s="78"/>
      <x:c r="AC125" s="78"/>
      <x:c r="AD125" s="78"/>
      <x:c r="AE125" s="78"/>
    </x:row>
    <x:row r="126" ht="24" customHeight="1">
      <x:c r="A126" s="78"/>
      <x:c r="B126" s="103"/>
      <x:c r="C126" s="104" t="str">
        <x:v>자체</x:v>
      </x:c>
      <x:c r="D126" s="81" t="str">
        <x:v>정치</x:v>
      </x:c>
      <x:c r="E126" s="127"/>
      <x:c r="F126" s="128"/>
      <x:c r="G126" s="134"/>
      <x:c r="H126" s="128"/>
      <x:c r="I126" s="128"/>
      <x:c r="J126" s="134"/>
      <x:c r="K126" s="128"/>
      <x:c r="L126" s="128"/>
      <x:c r="M126" s="134"/>
      <x:c r="N126" s="128" t="n">
        <x:f>'기존안 과목내역'!I134</x:f>
        <x:v>3</x:v>
      </x:c>
      <x:c r="O126" s="128" t="n">
        <x:f>'기존안 과목내역'!J134</x:f>
        <x:v>4</x:v>
      </x:c>
      <x:c r="P126" s="134" t="n">
        <x:f>N126*O126</x:f>
        <x:v>12</x:v>
      </x:c>
      <x:c r="Q126" s="128"/>
      <x:c r="R126" s="128"/>
      <x:c r="S126" s="134"/>
      <x:c r="T126" s="128"/>
      <x:c r="U126" s="128"/>
      <x:c r="V126" s="137"/>
      <x:c r="W126" s="78"/>
      <x:c r="X126" s="78"/>
      <x:c r="Y126" s="78"/>
      <x:c r="Z126" s="78"/>
      <x:c r="AA126" s="78"/>
      <x:c r="AB126" s="78"/>
      <x:c r="AC126" s="78"/>
      <x:c r="AD126" s="78"/>
      <x:c r="AE126" s="78"/>
    </x:row>
    <x:row r="127" ht="24" customHeight="1">
      <x:c r="A127" s="78"/>
      <x:c r="B127" s="103"/>
      <x:c r="C127" s="105" t="str">
        <x:v>통합</x:v>
      </x:c>
      <x:c r="D127" s="101" t="str">
        <x:v>통합사회1</x:v>
      </x:c>
      <x:c r="E127" s="127" t="n">
        <x:f>'기존안 과목내역'!I107</x:f>
        <x:v>4</x:v>
      </x:c>
      <x:c r="F127" s="128" t="n">
        <x:f>'공통융합 배정'!K31</x:f>
        <x:v>5</x:v>
      </x:c>
      <x:c r="G127" s="134" t="n">
        <x:f>'공통융합 배정'!L31</x:f>
        <x:v>20</x:v>
      </x:c>
      <x:c r="H127" s="128"/>
      <x:c r="I127" s="128"/>
      <x:c r="J127" s="134"/>
      <x:c r="K127" s="128"/>
      <x:c r="L127" s="128"/>
      <x:c r="M127" s="134"/>
      <x:c r="N127" s="128"/>
      <x:c r="O127" s="128"/>
      <x:c r="P127" s="134"/>
      <x:c r="Q127" s="128"/>
      <x:c r="R127" s="128"/>
      <x:c r="S127" s="134"/>
      <x:c r="T127" s="128"/>
      <x:c r="U127" s="128"/>
      <x:c r="V127" s="137"/>
      <x:c r="W127" s="78"/>
      <x:c r="X127" s="78"/>
      <x:c r="Y127" s="78"/>
      <x:c r="Z127" s="78"/>
      <x:c r="AA127" s="78"/>
      <x:c r="AB127" s="78"/>
      <x:c r="AC127" s="78"/>
      <x:c r="AD127" s="78"/>
      <x:c r="AE127" s="78"/>
    </x:row>
    <x:row r="128" ht="24" customHeight="1">
      <x:c r="A128" s="78"/>
      <x:c r="B128" s="103"/>
      <x:c r="C128" s="105" t="str">
        <x:v>융합</x:v>
      </x:c>
      <x:c r="D128" s="101" t="str">
        <x:v>역사로 탐구하는 현대 세계</x:v>
      </x:c>
      <x:c r="E128" s="127"/>
      <x:c r="F128" s="128"/>
      <x:c r="G128" s="134"/>
      <x:c r="H128" s="128"/>
      <x:c r="I128" s="128"/>
      <x:c r="J128" s="134"/>
      <x:c r="K128" s="128"/>
      <x:c r="L128" s="128"/>
      <x:c r="M128" s="134"/>
      <x:c r="N128" s="128"/>
      <x:c r="O128" s="128"/>
      <x:c r="P128" s="134"/>
      <x:c r="Q128" s="128" t="n">
        <x:f>'기존안 과목내역'!I122</x:f>
        <x:v>3</x:v>
      </x:c>
      <x:c r="R128" s="128" t="n">
        <x:f>'공통융합 배정'!K32</x:f>
        <x:v>0</x:v>
      </x:c>
      <x:c r="S128" s="134" t="n">
        <x:f>'공통융합 배정'!L32</x:f>
        <x:v>0</x:v>
      </x:c>
      <x:c r="T128" s="128"/>
      <x:c r="U128" s="128"/>
      <x:c r="V128" s="137"/>
      <x:c r="W128" s="78"/>
      <x:c r="X128" s="78"/>
      <x:c r="Y128" s="78"/>
      <x:c r="Z128" s="78"/>
      <x:c r="AA128" s="78"/>
      <x:c r="AB128" s="78"/>
      <x:c r="AC128" s="78"/>
      <x:c r="AD128" s="78"/>
      <x:c r="AE128" s="78"/>
    </x:row>
    <x:row r="129" ht="24" customHeight="1">
      <x:c r="A129" s="78"/>
      <x:c r="B129" s="103"/>
      <x:c r="C129" s="105" t="str">
        <x:v>통합</x:v>
      </x:c>
      <x:c r="D129" s="101" t="str">
        <x:v>통합사회2</x:v>
      </x:c>
      <x:c r="E129" s="127"/>
      <x:c r="F129" s="128"/>
      <x:c r="G129" s="134"/>
      <x:c r="H129" s="128" t="n">
        <x:f>'기존안 과목내역'!I128</x:f>
        <x:v>4</x:v>
      </x:c>
      <x:c r="I129" s="128" t="n">
        <x:f>'공통융합 배정'!K33</x:f>
        <x:v>3</x:v>
      </x:c>
      <x:c r="J129" s="134" t="n">
        <x:f>'공통융합 배정'!L33</x:f>
        <x:v>12</x:v>
      </x:c>
      <x:c r="K129" s="128"/>
      <x:c r="L129" s="128"/>
      <x:c r="M129" s="134"/>
      <x:c r="N129" s="128"/>
      <x:c r="O129" s="128"/>
      <x:c r="P129" s="134"/>
      <x:c r="Q129" s="128"/>
      <x:c r="R129" s="128"/>
      <x:c r="S129" s="134"/>
      <x:c r="T129" s="128"/>
      <x:c r="U129" s="128"/>
      <x:c r="V129" s="137"/>
      <x:c r="W129" s="78"/>
      <x:c r="X129" s="78"/>
      <x:c r="Y129" s="78"/>
      <x:c r="Z129" s="78"/>
      <x:c r="AA129" s="78"/>
      <x:c r="AB129" s="78"/>
      <x:c r="AC129" s="78"/>
      <x:c r="AD129" s="78"/>
      <x:c r="AE129" s="78"/>
    </x:row>
    <x:row r="130" ht="24" customHeight="1">
      <x:c r="A130" s="78"/>
      <x:c r="B130" s="103"/>
      <x:c r="C130" s="105" t="str">
        <x:v>융합</x:v>
      </x:c>
      <x:c r="D130" s="101" t="str">
        <x:v>사회문제 탐구</x:v>
      </x:c>
      <x:c r="E130" s="127"/>
      <x:c r="F130" s="128"/>
      <x:c r="G130" s="134"/>
      <x:c r="H130" s="128"/>
      <x:c r="I130" s="128"/>
      <x:c r="J130" s="134"/>
      <x:c r="K130" s="128"/>
      <x:c r="L130" s="128"/>
      <x:c r="M130" s="134"/>
      <x:c r="N130" s="128"/>
      <x:c r="O130" s="128"/>
      <x:c r="P130" s="134"/>
      <x:c r="Q130" s="128"/>
      <x:c r="R130" s="128"/>
      <x:c r="S130" s="134"/>
      <x:c r="T130" s="128" t="n">
        <x:f>'기존안 과목내역'!I141</x:f>
        <x:v>3</x:v>
      </x:c>
      <x:c r="U130" s="128" t="n">
        <x:f>'공통융합 배정'!K34</x:f>
        <x:v>9</x:v>
      </x:c>
      <x:c r="V130" s="137" t="n">
        <x:f>'공통융합 배정'!L34</x:f>
        <x:v>27</x:v>
      </x:c>
      <x:c r="W130" s="78"/>
      <x:c r="X130" s="78"/>
      <x:c r="Y130" s="78"/>
      <x:c r="Z130" s="78"/>
      <x:c r="AA130" s="78"/>
      <x:c r="AB130" s="78"/>
      <x:c r="AC130" s="78"/>
      <x:c r="AD130" s="78"/>
      <x:c r="AE130" s="78"/>
    </x:row>
    <x:row r="131" ht="24" customHeight="1">
      <x:c r="A131" s="78"/>
      <x:c r="B131" s="103"/>
      <x:c r="C131" s="105" t="str">
        <x:v>융합</x:v>
      </x:c>
      <x:c r="D131" s="101" t="str">
        <x:v>여행지리</x:v>
      </x:c>
      <x:c r="E131" s="127"/>
      <x:c r="F131" s="128"/>
      <x:c r="G131" s="134"/>
      <x:c r="H131" s="128"/>
      <x:c r="I131" s="128"/>
      <x:c r="J131" s="134"/>
      <x:c r="K131" s="128"/>
      <x:c r="L131" s="128"/>
      <x:c r="M131" s="134"/>
      <x:c r="N131" s="128"/>
      <x:c r="O131" s="128"/>
      <x:c r="P131" s="134"/>
      <x:c r="Q131" s="128"/>
      <x:c r="R131" s="128"/>
      <x:c r="S131" s="134"/>
      <x:c r="T131" s="128" t="n">
        <x:f>'기존안 과목내역'!I142</x:f>
        <x:v>3</x:v>
      </x:c>
      <x:c r="U131" s="128" t="n">
        <x:f>'공통융합 배정'!K35</x:f>
        <x:v>0</x:v>
      </x:c>
      <x:c r="V131" s="137" t="n">
        <x:f>'공통융합 배정'!L35</x:f>
        <x:v>0</x:v>
      </x:c>
      <x:c r="W131" s="78"/>
      <x:c r="X131" s="78"/>
      <x:c r="Y131" s="78"/>
      <x:c r="Z131" s="78"/>
      <x:c r="AA131" s="78"/>
      <x:c r="AB131" s="78"/>
      <x:c r="AC131" s="78"/>
      <x:c r="AD131" s="78"/>
      <x:c r="AE131" s="78"/>
    </x:row>
    <x:row r="132" ht="24" customHeight="1">
      <x:c r="A132" s="78"/>
      <x:c r="B132" s="103"/>
      <x:c r="C132" s="105" t="str">
        <x:v>융합</x:v>
      </x:c>
      <x:c r="D132" s="101" t="str">
        <x:v>윤리문제 탐구</x:v>
      </x:c>
      <x:c r="E132" s="130"/>
      <x:c r="F132" s="131"/>
      <x:c r="G132" s="135"/>
      <x:c r="H132" s="131"/>
      <x:c r="I132" s="131"/>
      <x:c r="J132" s="135"/>
      <x:c r="K132" s="131"/>
      <x:c r="L132" s="131"/>
      <x:c r="M132" s="135"/>
      <x:c r="N132" s="131"/>
      <x:c r="O132" s="131"/>
      <x:c r="P132" s="135"/>
      <x:c r="Q132" s="131"/>
      <x:c r="R132" s="131"/>
      <x:c r="S132" s="135"/>
      <x:c r="T132" s="131" t="n">
        <x:f>'기존안 과목내역'!I143</x:f>
        <x:v>3</x:v>
      </x:c>
      <x:c r="U132" s="131" t="n">
        <x:f>'공통융합 배정'!K36</x:f>
        <x:v>0</x:v>
      </x:c>
      <x:c r="V132" s="138" t="n">
        <x:f>'공통융합 배정'!L36</x:f>
        <x:v>0</x:v>
      </x:c>
      <x:c r="W132" s="78"/>
      <x:c r="X132" s="78"/>
      <x:c r="Y132" s="78"/>
      <x:c r="Z132" s="78"/>
      <x:c r="AA132" s="78"/>
      <x:c r="AB132" s="78"/>
      <x:c r="AC132" s="78"/>
      <x:c r="AD132" s="78"/>
      <x:c r="AE132" s="78"/>
    </x:row>
    <x:row r="133" ht="30" customHeight="1">
      <x:c r="A133" s="78"/>
      <x:c r="B133" s="141" t="str">
        <x:v>지리 합계</x:v>
      </x:c>
      <x:c r="C133" s="141"/>
      <x:c r="D133" s="141"/>
      <x:c r="E133" s="141"/>
      <x:c r="F133" s="141"/>
      <x:c r="G133" s="141" t="n">
        <x:f>SUM(G137)</x:f>
        <x:v>8</x:v>
      </x:c>
      <x:c r="H133" s="141"/>
      <x:c r="I133" s="141"/>
      <x:c r="J133" s="141" t="n">
        <x:f>SUM(J139)</x:f>
        <x:v>4</x:v>
      </x:c>
      <x:c r="K133" s="141"/>
      <x:c r="L133" s="141"/>
      <x:c r="M133" s="141" t="n">
        <x:f>SUM(M134)</x:f>
        <x:v>9</x:v>
      </x:c>
      <x:c r="N133" s="141"/>
      <x:c r="O133" s="141"/>
      <x:c r="P133" s="141" t="n">
        <x:f>SUM(P136)</x:f>
        <x:v>6</x:v>
      </x:c>
      <x:c r="Q133" s="141"/>
      <x:c r="R133" s="141"/>
      <x:c r="S133" s="141" t="n">
        <x:f>SUM(S135,S138)</x:f>
        <x:v>18</x:v>
      </x:c>
      <x:c r="T133" s="141"/>
      <x:c r="U133" s="141"/>
      <x:c r="V133" s="141" t="n">
        <x:f>SUM(V140,V141,V142)</x:f>
        <x:v>21</x:v>
      </x:c>
      <x:c r="W133" s="141" t="n">
        <x:f>IF(ISNUMBER('산정근거'!C11),'산정근거'!C11,"미정")</x:f>
        <x:v>2</x:v>
      </x:c>
      <x:c r="X133" s="143" t="n">
        <x:f>SUM(M134,S135)</x:f>
        <x:v>27</x:v>
      </x:c>
      <x:c r="Y133" s="143" t="n">
        <x:f>SUM(G137,S138)</x:f>
        <x:v>8</x:v>
      </x:c>
      <x:c r="Z133" s="143" t="n">
        <x:f>X133+Y133</x:f>
        <x:v>35</x:v>
      </x:c>
      <x:c r="AA133" s="144" t="n">
        <x:f>IF(OR(NOT(ISNUMBER(W133)),W133&lt;=0),"미정",Z133/W133)</x:f>
        <x:v>17.5</x:v>
      </x:c>
      <x:c r="AB133" s="143" t="n">
        <x:f>SUM(P136)</x:f>
        <x:v>6</x:v>
      </x:c>
      <x:c r="AC133" s="143" t="n">
        <x:f>SUM(J139,V140,V141,V142)</x:f>
        <x:v>25</x:v>
      </x:c>
      <x:c r="AD133" s="143" t="n">
        <x:f>AB133+AC133</x:f>
        <x:v>31</x:v>
      </x:c>
      <x:c r="AE133" s="144" t="n">
        <x:f>IF(OR(NOT(ISNUMBER(W133)),W133&lt;=0),"미정",AD133/W133)</x:f>
        <x:v>15.5</x:v>
      </x:c>
    </x:row>
    <x:row r="134" ht="24" customHeight="1">
      <x:c r="A134" s="78"/>
      <x:c r="B134" s="103" t="str">
        <x:v>지리</x:v>
      </x:c>
      <x:c r="C134" s="104" t="str">
        <x:v>자체</x:v>
      </x:c>
      <x:c r="D134" s="81" t="str">
        <x:v>세계시민과 지리</x:v>
      </x:c>
      <x:c r="E134" s="124"/>
      <x:c r="F134" s="125"/>
      <x:c r="G134" s="133"/>
      <x:c r="H134" s="125"/>
      <x:c r="I134" s="125"/>
      <x:c r="J134" s="133"/>
      <x:c r="K134" s="125" t="n">
        <x:f>'기존안 과목내역'!I112</x:f>
        <x:v>3</x:v>
      </x:c>
      <x:c r="L134" s="125" t="n">
        <x:f>'기존안 과목내역'!J112</x:f>
        <x:v>3</x:v>
      </x:c>
      <x:c r="M134" s="133" t="n">
        <x:f>K134*L134</x:f>
        <x:v>9</x:v>
      </x:c>
      <x:c r="N134" s="125"/>
      <x:c r="O134" s="125"/>
      <x:c r="P134" s="133"/>
      <x:c r="Q134" s="125"/>
      <x:c r="R134" s="125"/>
      <x:c r="S134" s="133"/>
      <x:c r="T134" s="125"/>
      <x:c r="U134" s="125"/>
      <x:c r="V134" s="136"/>
      <x:c r="W134" s="78"/>
      <x:c r="X134" s="78"/>
      <x:c r="Y134" s="78"/>
      <x:c r="Z134" s="78"/>
      <x:c r="AA134" s="78"/>
      <x:c r="AB134" s="78"/>
      <x:c r="AC134" s="78"/>
      <x:c r="AD134" s="78"/>
      <x:c r="AE134" s="78"/>
    </x:row>
    <x:row r="135" ht="24" customHeight="1">
      <x:c r="A135" s="78"/>
      <x:c r="B135" s="103"/>
      <x:c r="C135" s="104" t="str">
        <x:v>자체</x:v>
      </x:c>
      <x:c r="D135" s="81" t="str">
        <x:v>도시의 미래 탐구</x:v>
      </x:c>
      <x:c r="E135" s="127"/>
      <x:c r="F135" s="128"/>
      <x:c r="G135" s="134"/>
      <x:c r="H135" s="128"/>
      <x:c r="I135" s="128"/>
      <x:c r="J135" s="134"/>
      <x:c r="K135" s="128"/>
      <x:c r="L135" s="128"/>
      <x:c r="M135" s="134"/>
      <x:c r="N135" s="128"/>
      <x:c r="O135" s="128"/>
      <x:c r="P135" s="134"/>
      <x:c r="Q135" s="128" t="n">
        <x:f>'기존안 과목내역'!I120</x:f>
        <x:v>3</x:v>
      </x:c>
      <x:c r="R135" s="128" t="n">
        <x:f>'선택군비교'!H17</x:f>
        <x:v>6</x:v>
      </x:c>
      <x:c r="S135" s="134" t="n">
        <x:f>Q135*R135</x:f>
        <x:v>18</x:v>
      </x:c>
      <x:c r="T135" s="128"/>
      <x:c r="U135" s="128"/>
      <x:c r="V135" s="137"/>
      <x:c r="W135" s="78"/>
      <x:c r="X135" s="78"/>
      <x:c r="Y135" s="78"/>
      <x:c r="Z135" s="78"/>
      <x:c r="AA135" s="78"/>
      <x:c r="AB135" s="78"/>
      <x:c r="AC135" s="78"/>
      <x:c r="AD135" s="78"/>
      <x:c r="AE135" s="78"/>
    </x:row>
    <x:row r="136" ht="24" customHeight="1">
      <x:c r="A136" s="78"/>
      <x:c r="B136" s="103"/>
      <x:c r="C136" s="104" t="str">
        <x:v>자체</x:v>
      </x:c>
      <x:c r="D136" s="81" t="str">
        <x:v>한국지리 탐구</x:v>
      </x:c>
      <x:c r="E136" s="127"/>
      <x:c r="F136" s="128"/>
      <x:c r="G136" s="134"/>
      <x:c r="H136" s="128"/>
      <x:c r="I136" s="128"/>
      <x:c r="J136" s="134"/>
      <x:c r="K136" s="128"/>
      <x:c r="L136" s="128"/>
      <x:c r="M136" s="134"/>
      <x:c r="N136" s="128" t="n">
        <x:f>'기존안 과목내역'!I135</x:f>
        <x:v>3</x:v>
      </x:c>
      <x:c r="O136" s="128" t="n">
        <x:f>'기존안 과목내역'!J135</x:f>
        <x:v>2</x:v>
      </x:c>
      <x:c r="P136" s="134" t="n">
        <x:f>N136*O136</x:f>
        <x:v>6</x:v>
      </x:c>
      <x:c r="Q136" s="128"/>
      <x:c r="R136" s="128"/>
      <x:c r="S136" s="134"/>
      <x:c r="T136" s="128"/>
      <x:c r="U136" s="128"/>
      <x:c r="V136" s="137"/>
      <x:c r="W136" s="78"/>
      <x:c r="X136" s="78"/>
      <x:c r="Y136" s="78"/>
      <x:c r="Z136" s="78"/>
      <x:c r="AA136" s="78"/>
      <x:c r="AB136" s="78"/>
      <x:c r="AC136" s="78"/>
      <x:c r="AD136" s="78"/>
      <x:c r="AE136" s="78"/>
    </x:row>
    <x:row r="137" ht="24" customHeight="1">
      <x:c r="A137" s="78"/>
      <x:c r="B137" s="103"/>
      <x:c r="C137" s="105" t="str">
        <x:v>통합</x:v>
      </x:c>
      <x:c r="D137" s="101" t="str">
        <x:v>통합사회1</x:v>
      </x:c>
      <x:c r="E137" s="127" t="n">
        <x:f>'기존안 과목내역'!I107</x:f>
        <x:v>4</x:v>
      </x:c>
      <x:c r="F137" s="128" t="n">
        <x:f>'공통융합 배정'!M31</x:f>
        <x:v>2</x:v>
      </x:c>
      <x:c r="G137" s="134" t="n">
        <x:f>'공통융합 배정'!N31</x:f>
        <x:v>8</x:v>
      </x:c>
      <x:c r="H137" s="128"/>
      <x:c r="I137" s="128"/>
      <x:c r="J137" s="134"/>
      <x:c r="K137" s="128"/>
      <x:c r="L137" s="128"/>
      <x:c r="M137" s="134"/>
      <x:c r="N137" s="128"/>
      <x:c r="O137" s="128"/>
      <x:c r="P137" s="134"/>
      <x:c r="Q137" s="128"/>
      <x:c r="R137" s="128"/>
      <x:c r="S137" s="134"/>
      <x:c r="T137" s="128"/>
      <x:c r="U137" s="128"/>
      <x:c r="V137" s="137"/>
      <x:c r="W137" s="78"/>
      <x:c r="X137" s="78"/>
      <x:c r="Y137" s="78"/>
      <x:c r="Z137" s="78"/>
      <x:c r="AA137" s="78"/>
      <x:c r="AB137" s="78"/>
      <x:c r="AC137" s="78"/>
      <x:c r="AD137" s="78"/>
      <x:c r="AE137" s="78"/>
    </x:row>
    <x:row r="138" ht="24" customHeight="1">
      <x:c r="A138" s="78"/>
      <x:c r="B138" s="103"/>
      <x:c r="C138" s="105" t="str">
        <x:v>융합</x:v>
      </x:c>
      <x:c r="D138" s="101" t="str">
        <x:v>역사로 탐구하는 현대 세계</x:v>
      </x:c>
      <x:c r="E138" s="127"/>
      <x:c r="F138" s="128"/>
      <x:c r="G138" s="134"/>
      <x:c r="H138" s="128"/>
      <x:c r="I138" s="128"/>
      <x:c r="J138" s="134"/>
      <x:c r="K138" s="128"/>
      <x:c r="L138" s="128"/>
      <x:c r="M138" s="134"/>
      <x:c r="N138" s="128"/>
      <x:c r="O138" s="128"/>
      <x:c r="P138" s="134"/>
      <x:c r="Q138" s="128" t="n">
        <x:f>'기존안 과목내역'!I122</x:f>
        <x:v>3</x:v>
      </x:c>
      <x:c r="R138" s="128" t="n">
        <x:f>'공통융합 배정'!M32</x:f>
        <x:v>0</x:v>
      </x:c>
      <x:c r="S138" s="134" t="n">
        <x:f>'공통융합 배정'!N32</x:f>
        <x:v>0</x:v>
      </x:c>
      <x:c r="T138" s="128"/>
      <x:c r="U138" s="128"/>
      <x:c r="V138" s="137"/>
      <x:c r="W138" s="78"/>
      <x:c r="X138" s="78"/>
      <x:c r="Y138" s="78"/>
      <x:c r="Z138" s="78"/>
      <x:c r="AA138" s="78"/>
      <x:c r="AB138" s="78"/>
      <x:c r="AC138" s="78"/>
      <x:c r="AD138" s="78"/>
      <x:c r="AE138" s="78"/>
    </x:row>
    <x:row r="139" ht="24" customHeight="1">
      <x:c r="A139" s="78"/>
      <x:c r="B139" s="103"/>
      <x:c r="C139" s="105" t="str">
        <x:v>통합</x:v>
      </x:c>
      <x:c r="D139" s="101" t="str">
        <x:v>통합사회2</x:v>
      </x:c>
      <x:c r="E139" s="127"/>
      <x:c r="F139" s="128"/>
      <x:c r="G139" s="134"/>
      <x:c r="H139" s="128" t="n">
        <x:f>'기존안 과목내역'!I128</x:f>
        <x:v>4</x:v>
      </x:c>
      <x:c r="I139" s="128" t="n">
        <x:f>'공통융합 배정'!M33</x:f>
        <x:v>1</x:v>
      </x:c>
      <x:c r="J139" s="134" t="n">
        <x:f>'공통융합 배정'!N33</x:f>
        <x:v>4</x:v>
      </x:c>
      <x:c r="K139" s="128"/>
      <x:c r="L139" s="128"/>
      <x:c r="M139" s="134"/>
      <x:c r="N139" s="128"/>
      <x:c r="O139" s="128"/>
      <x:c r="P139" s="134"/>
      <x:c r="Q139" s="128"/>
      <x:c r="R139" s="128"/>
      <x:c r="S139" s="134"/>
      <x:c r="T139" s="128"/>
      <x:c r="U139" s="128"/>
      <x:c r="V139" s="137"/>
      <x:c r="W139" s="78"/>
      <x:c r="X139" s="78"/>
      <x:c r="Y139" s="78"/>
      <x:c r="Z139" s="78"/>
      <x:c r="AA139" s="78"/>
      <x:c r="AB139" s="78"/>
      <x:c r="AC139" s="78"/>
      <x:c r="AD139" s="78"/>
      <x:c r="AE139" s="78"/>
    </x:row>
    <x:row r="140" ht="24" customHeight="1">
      <x:c r="A140" s="78"/>
      <x:c r="B140" s="103"/>
      <x:c r="C140" s="105" t="str">
        <x:v>융합</x:v>
      </x:c>
      <x:c r="D140" s="101" t="str">
        <x:v>사회문제 탐구</x:v>
      </x:c>
      <x:c r="E140" s="127"/>
      <x:c r="F140" s="128"/>
      <x:c r="G140" s="134"/>
      <x:c r="H140" s="128"/>
      <x:c r="I140" s="128"/>
      <x:c r="J140" s="134"/>
      <x:c r="K140" s="128"/>
      <x:c r="L140" s="128"/>
      <x:c r="M140" s="134"/>
      <x:c r="N140" s="128"/>
      <x:c r="O140" s="128"/>
      <x:c r="P140" s="134"/>
      <x:c r="Q140" s="128"/>
      <x:c r="R140" s="128"/>
      <x:c r="S140" s="134"/>
      <x:c r="T140" s="128" t="n">
        <x:f>'기존안 과목내역'!I141</x:f>
        <x:v>3</x:v>
      </x:c>
      <x:c r="U140" s="128" t="n">
        <x:f>'공통융합 배정'!M34</x:f>
        <x:v>0</x:v>
      </x:c>
      <x:c r="V140" s="137" t="n">
        <x:f>'공통융합 배정'!N34</x:f>
        <x:v>0</x:v>
      </x:c>
      <x:c r="W140" s="78"/>
      <x:c r="X140" s="78"/>
      <x:c r="Y140" s="78"/>
      <x:c r="Z140" s="78"/>
      <x:c r="AA140" s="78"/>
      <x:c r="AB140" s="78"/>
      <x:c r="AC140" s="78"/>
      <x:c r="AD140" s="78"/>
      <x:c r="AE140" s="78"/>
    </x:row>
    <x:row r="141" ht="24" customHeight="1">
      <x:c r="A141" s="78"/>
      <x:c r="B141" s="103"/>
      <x:c r="C141" s="105" t="str">
        <x:v>융합</x:v>
      </x:c>
      <x:c r="D141" s="101" t="str">
        <x:v>여행지리</x:v>
      </x:c>
      <x:c r="E141" s="127"/>
      <x:c r="F141" s="128"/>
      <x:c r="G141" s="134"/>
      <x:c r="H141" s="128"/>
      <x:c r="I141" s="128"/>
      <x:c r="J141" s="134"/>
      <x:c r="K141" s="128"/>
      <x:c r="L141" s="128"/>
      <x:c r="M141" s="134"/>
      <x:c r="N141" s="128"/>
      <x:c r="O141" s="128"/>
      <x:c r="P141" s="134"/>
      <x:c r="Q141" s="128"/>
      <x:c r="R141" s="128"/>
      <x:c r="S141" s="134"/>
      <x:c r="T141" s="128" t="n">
        <x:f>'기존안 과목내역'!I142</x:f>
        <x:v>3</x:v>
      </x:c>
      <x:c r="U141" s="128" t="n">
        <x:f>'공통융합 배정'!M35</x:f>
        <x:v>7</x:v>
      </x:c>
      <x:c r="V141" s="137" t="n">
        <x:f>'공통융합 배정'!N35</x:f>
        <x:v>21</x:v>
      </x:c>
      <x:c r="W141" s="78"/>
      <x:c r="X141" s="78"/>
      <x:c r="Y141" s="78"/>
      <x:c r="Z141" s="78"/>
      <x:c r="AA141" s="78"/>
      <x:c r="AB141" s="78"/>
      <x:c r="AC141" s="78"/>
      <x:c r="AD141" s="78"/>
      <x:c r="AE141" s="78"/>
    </x:row>
    <x:row r="142" ht="24" customHeight="1">
      <x:c r="A142" s="78"/>
      <x:c r="B142" s="103"/>
      <x:c r="C142" s="105" t="str">
        <x:v>융합</x:v>
      </x:c>
      <x:c r="D142" s="101" t="str">
        <x:v>윤리문제 탐구</x:v>
      </x:c>
      <x:c r="E142" s="130"/>
      <x:c r="F142" s="131"/>
      <x:c r="G142" s="135"/>
      <x:c r="H142" s="131"/>
      <x:c r="I142" s="131"/>
      <x:c r="J142" s="135"/>
      <x:c r="K142" s="131"/>
      <x:c r="L142" s="131"/>
      <x:c r="M142" s="135"/>
      <x:c r="N142" s="131"/>
      <x:c r="O142" s="131"/>
      <x:c r="P142" s="135"/>
      <x:c r="Q142" s="131"/>
      <x:c r="R142" s="131"/>
      <x:c r="S142" s="135"/>
      <x:c r="T142" s="131" t="n">
        <x:f>'기존안 과목내역'!I143</x:f>
        <x:v>3</x:v>
      </x:c>
      <x:c r="U142" s="131" t="n">
        <x:f>'공통융합 배정'!M36</x:f>
        <x:v>0</x:v>
      </x:c>
      <x:c r="V142" s="138" t="n">
        <x:f>'공통융합 배정'!N36</x:f>
        <x:v>0</x:v>
      </x:c>
      <x:c r="W142" s="78"/>
      <x:c r="X142" s="78"/>
      <x:c r="Y142" s="78"/>
      <x:c r="Z142" s="78"/>
      <x:c r="AA142" s="78"/>
      <x:c r="AB142" s="78"/>
      <x:c r="AC142" s="78"/>
      <x:c r="AD142" s="78"/>
      <x:c r="AE142" s="78"/>
    </x:row>
    <x:row r="143" ht="30" customHeight="1">
      <x:c r="A143" s="78"/>
      <x:c r="B143" s="141" t="str">
        <x:v>윤리 합계</x:v>
      </x:c>
      <x:c r="C143" s="141"/>
      <x:c r="D143" s="141"/>
      <x:c r="E143" s="141"/>
      <x:c r="F143" s="141"/>
      <x:c r="G143" s="141" t="n">
        <x:f>SUM(G147)</x:f>
        <x:v>20</x:v>
      </x:c>
      <x:c r="H143" s="141"/>
      <x:c r="I143" s="141"/>
      <x:c r="J143" s="141" t="n">
        <x:f>SUM(J149)</x:f>
        <x:v>24</x:v>
      </x:c>
      <x:c r="K143" s="141"/>
      <x:c r="L143" s="141"/>
      <x:c r="M143" s="141" t="n">
        <x:f>SUM(M144)</x:f>
        <x:v>18</x:v>
      </x:c>
      <x:c r="N143" s="141"/>
      <x:c r="O143" s="141"/>
      <x:c r="P143" s="141" t="n">
        <x:f>SUM(P146)</x:f>
        <x:v>15</x:v>
      </x:c>
      <x:c r="Q143" s="141"/>
      <x:c r="R143" s="141"/>
      <x:c r="S143" s="141" t="n">
        <x:f>SUM(S145,S148)</x:f>
        <x:v>12</x:v>
      </x:c>
      <x:c r="T143" s="141"/>
      <x:c r="U143" s="141"/>
      <x:c r="V143" s="141" t="n">
        <x:f>SUM(V150,V151,V152)</x:f>
        <x:v>12</x:v>
      </x:c>
      <x:c r="W143" s="141" t="n">
        <x:f>IF(ISNUMBER('산정근거'!C13),'산정근거'!C13,"미정")</x:f>
        <x:v>3</x:v>
      </x:c>
      <x:c r="X143" s="143" t="n">
        <x:f>SUM(M144,S145)</x:f>
        <x:v>30</x:v>
      </x:c>
      <x:c r="Y143" s="143" t="n">
        <x:f>SUM(G147,S148)</x:f>
        <x:v>20</x:v>
      </x:c>
      <x:c r="Z143" s="143" t="n">
        <x:f>X143+Y143</x:f>
        <x:v>50</x:v>
      </x:c>
      <x:c r="AA143" s="144" t="n">
        <x:f>IF(OR(NOT(ISNUMBER(W143)),W143&lt;=0),"미정",Z143/W143)</x:f>
        <x:v>16.666666666666668</x:v>
      </x:c>
      <x:c r="AB143" s="143" t="n">
        <x:f>SUM(P146)</x:f>
        <x:v>15</x:v>
      </x:c>
      <x:c r="AC143" s="143" t="n">
        <x:f>SUM(J149,V150,V151,V152)</x:f>
        <x:v>36</x:v>
      </x:c>
      <x:c r="AD143" s="143" t="n">
        <x:f>AB143+AC143</x:f>
        <x:v>51</x:v>
      </x:c>
      <x:c r="AE143" s="144" t="n">
        <x:f>IF(OR(NOT(ISNUMBER(W143)),W143&lt;=0),"미정",AD143/W143)</x:f>
        <x:v>17</x:v>
      </x:c>
    </x:row>
    <x:row r="144" ht="24" customHeight="1">
      <x:c r="A144" s="78"/>
      <x:c r="B144" s="103" t="str">
        <x:v>윤리</x:v>
      </x:c>
      <x:c r="C144" s="104" t="str">
        <x:v>자체</x:v>
      </x:c>
      <x:c r="D144" s="81" t="str">
        <x:v>현대사회와 윤리</x:v>
      </x:c>
      <x:c r="E144" s="124"/>
      <x:c r="F144" s="125"/>
      <x:c r="G144" s="133"/>
      <x:c r="H144" s="125"/>
      <x:c r="I144" s="125"/>
      <x:c r="J144" s="133"/>
      <x:c r="K144" s="125" t="n">
        <x:f>'기존안 과목내역'!I113</x:f>
        <x:v>3</x:v>
      </x:c>
      <x:c r="L144" s="125" t="n">
        <x:f>'기존안 과목내역'!J113</x:f>
        <x:v>6</x:v>
      </x:c>
      <x:c r="M144" s="133" t="n">
        <x:f>K144*L144</x:f>
        <x:v>18</x:v>
      </x:c>
      <x:c r="N144" s="125"/>
      <x:c r="O144" s="125"/>
      <x:c r="P144" s="133"/>
      <x:c r="Q144" s="125"/>
      <x:c r="R144" s="125"/>
      <x:c r="S144" s="133"/>
      <x:c r="T144" s="125"/>
      <x:c r="U144" s="125"/>
      <x:c r="V144" s="136"/>
      <x:c r="W144" s="78"/>
      <x:c r="X144" s="78"/>
      <x:c r="Y144" s="78"/>
      <x:c r="Z144" s="78"/>
      <x:c r="AA144" s="78"/>
      <x:c r="AB144" s="78"/>
      <x:c r="AC144" s="78"/>
      <x:c r="AD144" s="78"/>
      <x:c r="AE144" s="78"/>
    </x:row>
    <x:row r="145" ht="24" customHeight="1">
      <x:c r="A145" s="78"/>
      <x:c r="B145" s="103"/>
      <x:c r="C145" s="104" t="str">
        <x:v>자체</x:v>
      </x:c>
      <x:c r="D145" s="81" t="str">
        <x:v>인문학과 윤리</x:v>
      </x:c>
      <x:c r="E145" s="127"/>
      <x:c r="F145" s="128"/>
      <x:c r="G145" s="134"/>
      <x:c r="H145" s="128"/>
      <x:c r="I145" s="128"/>
      <x:c r="J145" s="134"/>
      <x:c r="K145" s="128"/>
      <x:c r="L145" s="128"/>
      <x:c r="M145" s="134"/>
      <x:c r="N145" s="128"/>
      <x:c r="O145" s="128"/>
      <x:c r="P145" s="134"/>
      <x:c r="Q145" s="128" t="n">
        <x:f>'기존안 과목내역'!I121</x:f>
        <x:v>3</x:v>
      </x:c>
      <x:c r="R145" s="128" t="n">
        <x:f>'선택군비교'!H19</x:f>
        <x:v>4</x:v>
      </x:c>
      <x:c r="S145" s="134" t="n">
        <x:f>Q145*R145</x:f>
        <x:v>12</x:v>
      </x:c>
      <x:c r="T145" s="128"/>
      <x:c r="U145" s="128"/>
      <x:c r="V145" s="137"/>
      <x:c r="W145" s="78"/>
      <x:c r="X145" s="78"/>
      <x:c r="Y145" s="78"/>
      <x:c r="Z145" s="78"/>
      <x:c r="AA145" s="78"/>
      <x:c r="AB145" s="78"/>
      <x:c r="AC145" s="78"/>
      <x:c r="AD145" s="78"/>
      <x:c r="AE145" s="78"/>
    </x:row>
    <x:row r="146" ht="24" customHeight="1">
      <x:c r="A146" s="78"/>
      <x:c r="B146" s="103"/>
      <x:c r="C146" s="104" t="str">
        <x:v>자체</x:v>
      </x:c>
      <x:c r="D146" s="81" t="str">
        <x:v>윤리와 사상</x:v>
      </x:c>
      <x:c r="E146" s="127"/>
      <x:c r="F146" s="128"/>
      <x:c r="G146" s="134"/>
      <x:c r="H146" s="128"/>
      <x:c r="I146" s="128"/>
      <x:c r="J146" s="134"/>
      <x:c r="K146" s="128"/>
      <x:c r="L146" s="128"/>
      <x:c r="M146" s="134"/>
      <x:c r="N146" s="128" t="n">
        <x:f>'기존안 과목내역'!I133</x:f>
        <x:v>3</x:v>
      </x:c>
      <x:c r="O146" s="128" t="n">
        <x:f>'기존안 과목내역'!J133</x:f>
        <x:v>5</x:v>
      </x:c>
      <x:c r="P146" s="134" t="n">
        <x:f>N146*O146</x:f>
        <x:v>15</x:v>
      </x:c>
      <x:c r="Q146" s="128"/>
      <x:c r="R146" s="128"/>
      <x:c r="S146" s="134"/>
      <x:c r="T146" s="128"/>
      <x:c r="U146" s="128"/>
      <x:c r="V146" s="137"/>
      <x:c r="W146" s="78"/>
      <x:c r="X146" s="78"/>
      <x:c r="Y146" s="78"/>
      <x:c r="Z146" s="78"/>
      <x:c r="AA146" s="78"/>
      <x:c r="AB146" s="78"/>
      <x:c r="AC146" s="78"/>
      <x:c r="AD146" s="78"/>
      <x:c r="AE146" s="78"/>
    </x:row>
    <x:row r="147" ht="24" customHeight="1">
      <x:c r="A147" s="78"/>
      <x:c r="B147" s="103"/>
      <x:c r="C147" s="105" t="str">
        <x:v>통합</x:v>
      </x:c>
      <x:c r="D147" s="101" t="str">
        <x:v>통합사회1</x:v>
      </x:c>
      <x:c r="E147" s="127" t="n">
        <x:f>'기존안 과목내역'!I107</x:f>
        <x:v>4</x:v>
      </x:c>
      <x:c r="F147" s="128" t="n">
        <x:f>'공통융합 배정'!O31</x:f>
        <x:v>5</x:v>
      </x:c>
      <x:c r="G147" s="134" t="n">
        <x:f>'공통융합 배정'!P31</x:f>
        <x:v>20</x:v>
      </x:c>
      <x:c r="H147" s="128"/>
      <x:c r="I147" s="128"/>
      <x:c r="J147" s="134"/>
      <x:c r="K147" s="128"/>
      <x:c r="L147" s="128"/>
      <x:c r="M147" s="134"/>
      <x:c r="N147" s="128"/>
      <x:c r="O147" s="128"/>
      <x:c r="P147" s="134"/>
      <x:c r="Q147" s="128"/>
      <x:c r="R147" s="128"/>
      <x:c r="S147" s="134"/>
      <x:c r="T147" s="128"/>
      <x:c r="U147" s="128"/>
      <x:c r="V147" s="137"/>
      <x:c r="W147" s="78"/>
      <x:c r="X147" s="78"/>
      <x:c r="Y147" s="78"/>
      <x:c r="Z147" s="78"/>
      <x:c r="AA147" s="78"/>
      <x:c r="AB147" s="78"/>
      <x:c r="AC147" s="78"/>
      <x:c r="AD147" s="78"/>
      <x:c r="AE147" s="78"/>
    </x:row>
    <x:row r="148" ht="24" customHeight="1">
      <x:c r="A148" s="78"/>
      <x:c r="B148" s="103"/>
      <x:c r="C148" s="105" t="str">
        <x:v>융합</x:v>
      </x:c>
      <x:c r="D148" s="101" t="str">
        <x:v>역사로 탐구하는 현대 세계</x:v>
      </x:c>
      <x:c r="E148" s="127"/>
      <x:c r="F148" s="128"/>
      <x:c r="G148" s="134"/>
      <x:c r="H148" s="128"/>
      <x:c r="I148" s="128"/>
      <x:c r="J148" s="134"/>
      <x:c r="K148" s="128"/>
      <x:c r="L148" s="128"/>
      <x:c r="M148" s="134"/>
      <x:c r="N148" s="128"/>
      <x:c r="O148" s="128"/>
      <x:c r="P148" s="134"/>
      <x:c r="Q148" s="128" t="n">
        <x:f>'기존안 과목내역'!I122</x:f>
        <x:v>3</x:v>
      </x:c>
      <x:c r="R148" s="128" t="n">
        <x:f>'공통융합 배정'!O32</x:f>
        <x:v>0</x:v>
      </x:c>
      <x:c r="S148" s="134" t="n">
        <x:f>'공통융합 배정'!P32</x:f>
        <x:v>0</x:v>
      </x:c>
      <x:c r="T148" s="128"/>
      <x:c r="U148" s="128"/>
      <x:c r="V148" s="137"/>
      <x:c r="W148" s="78"/>
      <x:c r="X148" s="78"/>
      <x:c r="Y148" s="78"/>
      <x:c r="Z148" s="78"/>
      <x:c r="AA148" s="78"/>
      <x:c r="AB148" s="78"/>
      <x:c r="AC148" s="78"/>
      <x:c r="AD148" s="78"/>
      <x:c r="AE148" s="78"/>
    </x:row>
    <x:row r="149" ht="24" customHeight="1">
      <x:c r="A149" s="78"/>
      <x:c r="B149" s="103"/>
      <x:c r="C149" s="105" t="str">
        <x:v>통합</x:v>
      </x:c>
      <x:c r="D149" s="101" t="str">
        <x:v>통합사회2</x:v>
      </x:c>
      <x:c r="E149" s="127"/>
      <x:c r="F149" s="128"/>
      <x:c r="G149" s="134"/>
      <x:c r="H149" s="128" t="n">
        <x:f>'기존안 과목내역'!I128</x:f>
        <x:v>4</x:v>
      </x:c>
      <x:c r="I149" s="128" t="n">
        <x:f>'공통융합 배정'!O33</x:f>
        <x:v>6</x:v>
      </x:c>
      <x:c r="J149" s="134" t="n">
        <x:f>'공통융합 배정'!P33</x:f>
        <x:v>24</x:v>
      </x:c>
      <x:c r="K149" s="128"/>
      <x:c r="L149" s="128"/>
      <x:c r="M149" s="134"/>
      <x:c r="N149" s="128"/>
      <x:c r="O149" s="128"/>
      <x:c r="P149" s="134"/>
      <x:c r="Q149" s="128"/>
      <x:c r="R149" s="128"/>
      <x:c r="S149" s="134"/>
      <x:c r="T149" s="128"/>
      <x:c r="U149" s="128"/>
      <x:c r="V149" s="137"/>
      <x:c r="W149" s="78"/>
      <x:c r="X149" s="78"/>
      <x:c r="Y149" s="78"/>
      <x:c r="Z149" s="78"/>
      <x:c r="AA149" s="78"/>
      <x:c r="AB149" s="78"/>
      <x:c r="AC149" s="78"/>
      <x:c r="AD149" s="78"/>
      <x:c r="AE149" s="78"/>
    </x:row>
    <x:row r="150" ht="24" customHeight="1">
      <x:c r="A150" s="78"/>
      <x:c r="B150" s="103"/>
      <x:c r="C150" s="105" t="str">
        <x:v>융합</x:v>
      </x:c>
      <x:c r="D150" s="101" t="str">
        <x:v>사회문제 탐구</x:v>
      </x:c>
      <x:c r="E150" s="127"/>
      <x:c r="F150" s="128"/>
      <x:c r="G150" s="134"/>
      <x:c r="H150" s="128"/>
      <x:c r="I150" s="128"/>
      <x:c r="J150" s="134"/>
      <x:c r="K150" s="128"/>
      <x:c r="L150" s="128"/>
      <x:c r="M150" s="134"/>
      <x:c r="N150" s="128"/>
      <x:c r="O150" s="128"/>
      <x:c r="P150" s="134"/>
      <x:c r="Q150" s="128"/>
      <x:c r="R150" s="128"/>
      <x:c r="S150" s="134"/>
      <x:c r="T150" s="128" t="n">
        <x:f>'기존안 과목내역'!I141</x:f>
        <x:v>3</x:v>
      </x:c>
      <x:c r="U150" s="128" t="n">
        <x:f>'공통융합 배정'!O34</x:f>
        <x:v>0</x:v>
      </x:c>
      <x:c r="V150" s="137" t="n">
        <x:f>'공통융합 배정'!P34</x:f>
        <x:v>0</x:v>
      </x:c>
      <x:c r="W150" s="78"/>
      <x:c r="X150" s="78"/>
      <x:c r="Y150" s="78"/>
      <x:c r="Z150" s="78"/>
      <x:c r="AA150" s="78"/>
      <x:c r="AB150" s="78"/>
      <x:c r="AC150" s="78"/>
      <x:c r="AD150" s="78"/>
      <x:c r="AE150" s="78"/>
    </x:row>
    <x:row r="151" ht="24" customHeight="1">
      <x:c r="A151" s="78"/>
      <x:c r="B151" s="103"/>
      <x:c r="C151" s="105" t="str">
        <x:v>융합</x:v>
      </x:c>
      <x:c r="D151" s="101" t="str">
        <x:v>여행지리</x:v>
      </x:c>
      <x:c r="E151" s="127"/>
      <x:c r="F151" s="128"/>
      <x:c r="G151" s="134"/>
      <x:c r="H151" s="128"/>
      <x:c r="I151" s="128"/>
      <x:c r="J151" s="134"/>
      <x:c r="K151" s="128"/>
      <x:c r="L151" s="128"/>
      <x:c r="M151" s="134"/>
      <x:c r="N151" s="128"/>
      <x:c r="O151" s="128"/>
      <x:c r="P151" s="134"/>
      <x:c r="Q151" s="128"/>
      <x:c r="R151" s="128"/>
      <x:c r="S151" s="134"/>
      <x:c r="T151" s="128" t="n">
        <x:f>'기존안 과목내역'!I142</x:f>
        <x:v>3</x:v>
      </x:c>
      <x:c r="U151" s="128" t="n">
        <x:f>'공통융합 배정'!O35</x:f>
        <x:v>0</x:v>
      </x:c>
      <x:c r="V151" s="137" t="n">
        <x:f>'공통융합 배정'!P35</x:f>
        <x:v>0</x:v>
      </x:c>
      <x:c r="W151" s="78"/>
      <x:c r="X151" s="78"/>
      <x:c r="Y151" s="78"/>
      <x:c r="Z151" s="78"/>
      <x:c r="AA151" s="78"/>
      <x:c r="AB151" s="78"/>
      <x:c r="AC151" s="78"/>
      <x:c r="AD151" s="78"/>
      <x:c r="AE151" s="78"/>
    </x:row>
    <x:row r="152" ht="24" customHeight="1">
      <x:c r="A152" s="78"/>
      <x:c r="B152" s="103"/>
      <x:c r="C152" s="105" t="str">
        <x:v>융합</x:v>
      </x:c>
      <x:c r="D152" s="101" t="str">
        <x:v>윤리문제 탐구</x:v>
      </x:c>
      <x:c r="E152" s="130"/>
      <x:c r="F152" s="131"/>
      <x:c r="G152" s="135"/>
      <x:c r="H152" s="131"/>
      <x:c r="I152" s="131"/>
      <x:c r="J152" s="135"/>
      <x:c r="K152" s="131"/>
      <x:c r="L152" s="131"/>
      <x:c r="M152" s="135"/>
      <x:c r="N152" s="131"/>
      <x:c r="O152" s="131"/>
      <x:c r="P152" s="135"/>
      <x:c r="Q152" s="131"/>
      <x:c r="R152" s="131"/>
      <x:c r="S152" s="135"/>
      <x:c r="T152" s="131" t="n">
        <x:f>'기존안 과목내역'!I143</x:f>
        <x:v>3</x:v>
      </x:c>
      <x:c r="U152" s="131" t="n">
        <x:f>'공통융합 배정'!O36</x:f>
        <x:v>4</x:v>
      </x:c>
      <x:c r="V152" s="138" t="n">
        <x:f>'공통융합 배정'!P36</x:f>
        <x:v>12</x:v>
      </x:c>
      <x:c r="W152" s="78"/>
      <x:c r="X152" s="78"/>
      <x:c r="Y152" s="78"/>
      <x:c r="Z152" s="78"/>
      <x:c r="AA152" s="78"/>
      <x:c r="AB152" s="78"/>
      <x:c r="AC152" s="78"/>
      <x:c r="AD152" s="78"/>
      <x:c r="AE152" s="78"/>
    </x:row>
    <x:row r="153" ht="30" customHeight="1">
      <x:c r="A153" s="78"/>
      <x:c r="B153" s="141" t="str">
        <x:v>물리학 합계</x:v>
      </x:c>
      <x:c r="C153" s="141"/>
      <x:c r="D153" s="141"/>
      <x:c r="E153" s="141"/>
      <x:c r="F153" s="141"/>
      <x:c r="G153" s="141" t="n">
        <x:f>SUM(G157,G158)</x:f>
        <x:v>11</x:v>
      </x:c>
      <x:c r="H153" s="141"/>
      <x:c r="I153" s="141"/>
      <x:c r="J153" s="141" t="n">
        <x:f>SUM(J159,J160)</x:f>
        <x:v>15</x:v>
      </x:c>
      <x:c r="K153" s="141"/>
      <x:c r="L153" s="141"/>
      <x:c r="M153" s="141" t="n">
        <x:f>SUM(M154)</x:f>
        <x:v>12</x:v>
      </x:c>
      <x:c r="N153" s="141"/>
      <x:c r="O153" s="141"/>
      <x:c r="P153" s="141" t="n">
        <x:f>SUM(P156)</x:f>
        <x:v>12</x:v>
      </x:c>
      <x:c r="Q153" s="141"/>
      <x:c r="R153" s="141"/>
      <x:c r="S153" s="141" t="n">
        <x:f>SUM(S155)</x:f>
        <x:v>6</x:v>
      </x:c>
      <x:c r="T153" s="141"/>
      <x:c r="U153" s="141"/>
      <x:c r="V153" s="141" t="n">
        <x:f>SUM(V161,V162,V163)</x:f>
        <x:v>9</x:v>
      </x:c>
      <x:c r="W153" s="141" t="n">
        <x:f>IF(ISNUMBER('산정근거'!C14),'산정근거'!C14,"미정")</x:f>
        <x:v>2</x:v>
      </x:c>
      <x:c r="X153" s="143" t="n">
        <x:f>SUM(M154,S155)</x:f>
        <x:v>18</x:v>
      </x:c>
      <x:c r="Y153" s="143" t="n">
        <x:f>SUM(G157,G158)</x:f>
        <x:v>11</x:v>
      </x:c>
      <x:c r="Z153" s="143" t="n">
        <x:f>X153+Y153</x:f>
        <x:v>29</x:v>
      </x:c>
      <x:c r="AA153" s="144" t="n">
        <x:f>IF(OR(NOT(ISNUMBER(W153)),W153&lt;=0),"미정",Z153/W153)</x:f>
        <x:v>14.5</x:v>
      </x:c>
      <x:c r="AB153" s="143" t="n">
        <x:f>SUM(P156)</x:f>
        <x:v>12</x:v>
      </x:c>
      <x:c r="AC153" s="143" t="n">
        <x:f>SUM(J159,J160,V161,V162,V163)</x:f>
        <x:v>24</x:v>
      </x:c>
      <x:c r="AD153" s="143" t="n">
        <x:f>AB153+AC153</x:f>
        <x:v>36</x:v>
      </x:c>
      <x:c r="AE153" s="144" t="n">
        <x:f>IF(OR(NOT(ISNUMBER(W153)),W153&lt;=0),"미정",AD153/W153)</x:f>
        <x:v>18</x:v>
      </x:c>
    </x:row>
    <x:row r="154" ht="24" customHeight="1">
      <x:c r="A154" s="78"/>
      <x:c r="B154" s="103" t="str">
        <x:v>물리</x:v>
      </x:c>
      <x:c r="C154" s="104" t="str">
        <x:v>자체</x:v>
      </x:c>
      <x:c r="D154" s="81" t="str">
        <x:v>물리학</x:v>
      </x:c>
      <x:c r="E154" s="124"/>
      <x:c r="F154" s="125"/>
      <x:c r="G154" s="133"/>
      <x:c r="H154" s="125"/>
      <x:c r="I154" s="125"/>
      <x:c r="J154" s="133"/>
      <x:c r="K154" s="125" t="n">
        <x:f>'기존안 과목내역'!I114</x:f>
        <x:v>3</x:v>
      </x:c>
      <x:c r="L154" s="125" t="n">
        <x:f>'기존안 과목내역'!J114</x:f>
        <x:v>4</x:v>
      </x:c>
      <x:c r="M154" s="133" t="n">
        <x:f>K154*L154</x:f>
        <x:v>12</x:v>
      </x:c>
      <x:c r="N154" s="125"/>
      <x:c r="O154" s="125"/>
      <x:c r="P154" s="133"/>
      <x:c r="Q154" s="125"/>
      <x:c r="R154" s="125"/>
      <x:c r="S154" s="133"/>
      <x:c r="T154" s="125"/>
      <x:c r="U154" s="125"/>
      <x:c r="V154" s="136"/>
      <x:c r="W154" s="78"/>
      <x:c r="X154" s="78"/>
      <x:c r="Y154" s="78"/>
      <x:c r="Z154" s="78"/>
      <x:c r="AA154" s="78"/>
      <x:c r="AB154" s="78"/>
      <x:c r="AC154" s="78"/>
      <x:c r="AD154" s="78"/>
      <x:c r="AE154" s="78"/>
    </x:row>
    <x:row r="155" ht="24" customHeight="1">
      <x:c r="A155" s="78"/>
      <x:c r="B155" s="103"/>
      <x:c r="C155" s="104" t="str">
        <x:v>자체</x:v>
      </x:c>
      <x:c r="D155" s="81" t="str">
        <x:v>전자기와 양자</x:v>
      </x:c>
      <x:c r="E155" s="127"/>
      <x:c r="F155" s="128"/>
      <x:c r="G155" s="134"/>
      <x:c r="H155" s="128"/>
      <x:c r="I155" s="128"/>
      <x:c r="J155" s="134"/>
      <x:c r="K155" s="128"/>
      <x:c r="L155" s="128"/>
      <x:c r="M155" s="134"/>
      <x:c r="N155" s="128"/>
      <x:c r="O155" s="128"/>
      <x:c r="P155" s="134"/>
      <x:c r="Q155" s="128" t="n">
        <x:f>'기존안 과목내역'!I125</x:f>
        <x:v>3</x:v>
      </x:c>
      <x:c r="R155" s="128" t="n">
        <x:f>'선택군비교'!H22</x:f>
        <x:v>2</x:v>
      </x:c>
      <x:c r="S155" s="134" t="n">
        <x:f>Q155*R155</x:f>
        <x:v>6</x:v>
      </x:c>
      <x:c r="T155" s="128"/>
      <x:c r="U155" s="128"/>
      <x:c r="V155" s="137"/>
      <x:c r="W155" s="78"/>
      <x:c r="X155" s="78"/>
      <x:c r="Y155" s="78"/>
      <x:c r="Z155" s="78"/>
      <x:c r="AA155" s="78"/>
      <x:c r="AB155" s="78"/>
      <x:c r="AC155" s="78"/>
      <x:c r="AD155" s="78"/>
      <x:c r="AE155" s="78"/>
    </x:row>
    <x:row r="156" ht="24" customHeight="1">
      <x:c r="A156" s="78"/>
      <x:c r="B156" s="103"/>
      <x:c r="C156" s="104" t="str">
        <x:v>자체</x:v>
      </x:c>
      <x:c r="D156" s="81" t="str">
        <x:v>역학과 에너지</x:v>
      </x:c>
      <x:c r="E156" s="127"/>
      <x:c r="F156" s="128"/>
      <x:c r="G156" s="134"/>
      <x:c r="H156" s="128"/>
      <x:c r="I156" s="128"/>
      <x:c r="J156" s="134"/>
      <x:c r="K156" s="128"/>
      <x:c r="L156" s="128"/>
      <x:c r="M156" s="134"/>
      <x:c r="N156" s="128" t="n">
        <x:f>'기존안 과목내역'!I138</x:f>
        <x:v>3</x:v>
      </x:c>
      <x:c r="O156" s="128" t="n">
        <x:f>'기존안 과목내역'!J138</x:f>
        <x:v>4</x:v>
      </x:c>
      <x:c r="P156" s="134" t="n">
        <x:f>N156*O156</x:f>
        <x:v>12</x:v>
      </x:c>
      <x:c r="Q156" s="128"/>
      <x:c r="R156" s="128"/>
      <x:c r="S156" s="134"/>
      <x:c r="T156" s="128"/>
      <x:c r="U156" s="128"/>
      <x:c r="V156" s="137"/>
      <x:c r="W156" s="78"/>
      <x:c r="X156" s="78"/>
      <x:c r="Y156" s="78"/>
      <x:c r="Z156" s="78"/>
      <x:c r="AA156" s="78"/>
      <x:c r="AB156" s="78"/>
      <x:c r="AC156" s="78"/>
      <x:c r="AD156" s="78"/>
      <x:c r="AE156" s="78"/>
    </x:row>
    <x:row r="157" ht="24" customHeight="1">
      <x:c r="A157" s="78"/>
      <x:c r="B157" s="103"/>
      <x:c r="C157" s="105" t="str">
        <x:v>통합</x:v>
      </x:c>
      <x:c r="D157" s="101" t="str">
        <x:v>통합과학1</x:v>
      </x:c>
      <x:c r="E157" s="127" t="n">
        <x:f>'기존안 과목내역'!I108</x:f>
        <x:v>4</x:v>
      </x:c>
      <x:c r="F157" s="128" t="n">
        <x:f>'공통융합 배정'!I57</x:f>
        <x:v>2</x:v>
      </x:c>
      <x:c r="G157" s="134" t="n">
        <x:f>'공통융합 배정'!J57</x:f>
        <x:v>8</x:v>
      </x:c>
      <x:c r="H157" s="128"/>
      <x:c r="I157" s="128"/>
      <x:c r="J157" s="134"/>
      <x:c r="K157" s="128"/>
      <x:c r="L157" s="128"/>
      <x:c r="M157" s="134"/>
      <x:c r="N157" s="128"/>
      <x:c r="O157" s="128"/>
      <x:c r="P157" s="134"/>
      <x:c r="Q157" s="128"/>
      <x:c r="R157" s="128"/>
      <x:c r="S157" s="134"/>
      <x:c r="T157" s="128"/>
      <x:c r="U157" s="128"/>
      <x:c r="V157" s="137"/>
      <x:c r="W157" s="78"/>
      <x:c r="X157" s="78"/>
      <x:c r="Y157" s="78"/>
      <x:c r="Z157" s="78"/>
      <x:c r="AA157" s="78"/>
      <x:c r="AB157" s="78"/>
      <x:c r="AC157" s="78"/>
      <x:c r="AD157" s="78"/>
      <x:c r="AE157" s="78"/>
    </x:row>
    <x:row r="158" ht="24" customHeight="1">
      <x:c r="A158" s="78"/>
      <x:c r="B158" s="103"/>
      <x:c r="C158" s="105" t="str">
        <x:v>실험</x:v>
      </x:c>
      <x:c r="D158" s="101" t="str">
        <x:v>과학탐구실험1</x:v>
      </x:c>
      <x:c r="E158" s="127" t="n">
        <x:f>'기존안 과목내역'!I109</x:f>
        <x:v>1</x:v>
      </x:c>
      <x:c r="F158" s="128" t="n">
        <x:f>'공통융합 배정'!I58</x:f>
        <x:v>3</x:v>
      </x:c>
      <x:c r="G158" s="134" t="n">
        <x:f>'공통융합 배정'!J58</x:f>
        <x:v>3</x:v>
      </x:c>
      <x:c r="H158" s="128"/>
      <x:c r="I158" s="128"/>
      <x:c r="J158" s="134"/>
      <x:c r="K158" s="128"/>
      <x:c r="L158" s="128"/>
      <x:c r="M158" s="134"/>
      <x:c r="N158" s="128"/>
      <x:c r="O158" s="128"/>
      <x:c r="P158" s="134"/>
      <x:c r="Q158" s="128"/>
      <x:c r="R158" s="128"/>
      <x:c r="S158" s="134"/>
      <x:c r="T158" s="128"/>
      <x:c r="U158" s="128"/>
      <x:c r="V158" s="137"/>
      <x:c r="W158" s="78"/>
      <x:c r="X158" s="78"/>
      <x:c r="Y158" s="78"/>
      <x:c r="Z158" s="78"/>
      <x:c r="AA158" s="78"/>
      <x:c r="AB158" s="78"/>
      <x:c r="AC158" s="78"/>
      <x:c r="AD158" s="78"/>
      <x:c r="AE158" s="78"/>
    </x:row>
    <x:row r="159" ht="24" customHeight="1">
      <x:c r="A159" s="78"/>
      <x:c r="B159" s="103"/>
      <x:c r="C159" s="105" t="str">
        <x:v>통합</x:v>
      </x:c>
      <x:c r="D159" s="101" t="str">
        <x:v>통합과학2</x:v>
      </x:c>
      <x:c r="E159" s="127"/>
      <x:c r="F159" s="128"/>
      <x:c r="G159" s="134"/>
      <x:c r="H159" s="128" t="n">
        <x:f>'기존안 과목내역'!I129</x:f>
        <x:v>4</x:v>
      </x:c>
      <x:c r="I159" s="128" t="n">
        <x:f>'공통융합 배정'!I59</x:f>
        <x:v>3</x:v>
      </x:c>
      <x:c r="J159" s="134" t="n">
        <x:f>'공통융합 배정'!J59</x:f>
        <x:v>12</x:v>
      </x:c>
      <x:c r="K159" s="128"/>
      <x:c r="L159" s="128"/>
      <x:c r="M159" s="134"/>
      <x:c r="N159" s="128"/>
      <x:c r="O159" s="128"/>
      <x:c r="P159" s="134"/>
      <x:c r="Q159" s="128"/>
      <x:c r="R159" s="128"/>
      <x:c r="S159" s="134"/>
      <x:c r="T159" s="128"/>
      <x:c r="U159" s="128"/>
      <x:c r="V159" s="137"/>
      <x:c r="W159" s="78"/>
      <x:c r="X159" s="78"/>
      <x:c r="Y159" s="78"/>
      <x:c r="Z159" s="78"/>
      <x:c r="AA159" s="78"/>
      <x:c r="AB159" s="78"/>
      <x:c r="AC159" s="78"/>
      <x:c r="AD159" s="78"/>
      <x:c r="AE159" s="78"/>
    </x:row>
    <x:row r="160" ht="24" customHeight="1">
      <x:c r="A160" s="78"/>
      <x:c r="B160" s="103"/>
      <x:c r="C160" s="105" t="str">
        <x:v>실험</x:v>
      </x:c>
      <x:c r="D160" s="101" t="str">
        <x:v>과학탐구실험2</x:v>
      </x:c>
      <x:c r="E160" s="127"/>
      <x:c r="F160" s="128"/>
      <x:c r="G160" s="134"/>
      <x:c r="H160" s="128" t="n">
        <x:f>'기존안 과목내역'!I130</x:f>
        <x:v>1</x:v>
      </x:c>
      <x:c r="I160" s="128" t="n">
        <x:f>'공통융합 배정'!I60</x:f>
        <x:v>3</x:v>
      </x:c>
      <x:c r="J160" s="134" t="n">
        <x:f>'공통융합 배정'!J60</x:f>
        <x:v>3</x:v>
      </x:c>
      <x:c r="K160" s="128"/>
      <x:c r="L160" s="128"/>
      <x:c r="M160" s="134"/>
      <x:c r="N160" s="128"/>
      <x:c r="O160" s="128"/>
      <x:c r="P160" s="134"/>
      <x:c r="Q160" s="128"/>
      <x:c r="R160" s="128"/>
      <x:c r="S160" s="134"/>
      <x:c r="T160" s="128"/>
      <x:c r="U160" s="128"/>
      <x:c r="V160" s="137"/>
      <x:c r="W160" s="78"/>
      <x:c r="X160" s="78"/>
      <x:c r="Y160" s="78"/>
      <x:c r="Z160" s="78"/>
      <x:c r="AA160" s="78"/>
      <x:c r="AB160" s="78"/>
      <x:c r="AC160" s="78"/>
      <x:c r="AD160" s="78"/>
      <x:c r="AE160" s="78"/>
    </x:row>
    <x:row r="161" ht="24" customHeight="1">
      <x:c r="A161" s="78"/>
      <x:c r="B161" s="103"/>
      <x:c r="C161" s="105" t="str">
        <x:v>융합</x:v>
      </x:c>
      <x:c r="D161" s="101" t="str">
        <x:v>과학의 역사와 문화</x:v>
      </x:c>
      <x:c r="E161" s="127"/>
      <x:c r="F161" s="128"/>
      <x:c r="G161" s="134"/>
      <x:c r="H161" s="128"/>
      <x:c r="I161" s="128"/>
      <x:c r="J161" s="134"/>
      <x:c r="K161" s="128"/>
      <x:c r="L161" s="128"/>
      <x:c r="M161" s="134"/>
      <x:c r="N161" s="128"/>
      <x:c r="O161" s="128"/>
      <x:c r="P161" s="134"/>
      <x:c r="Q161" s="128"/>
      <x:c r="R161" s="128"/>
      <x:c r="S161" s="134"/>
      <x:c r="T161" s="128" t="n">
        <x:f>'기존안 과목내역'!I144</x:f>
        <x:v>3</x:v>
      </x:c>
      <x:c r="U161" s="128" t="n">
        <x:f>'공통융합 배정'!I61</x:f>
        <x:v>2</x:v>
      </x:c>
      <x:c r="V161" s="137" t="n">
        <x:f>'공통융합 배정'!J61</x:f>
        <x:v>6</x:v>
      </x:c>
      <x:c r="W161" s="78"/>
      <x:c r="X161" s="78"/>
      <x:c r="Y161" s="78"/>
      <x:c r="Z161" s="78"/>
      <x:c r="AA161" s="78"/>
      <x:c r="AB161" s="78"/>
      <x:c r="AC161" s="78"/>
      <x:c r="AD161" s="78"/>
      <x:c r="AE161" s="78"/>
    </x:row>
    <x:row r="162" ht="24" customHeight="1">
      <x:c r="A162" s="78"/>
      <x:c r="B162" s="103"/>
      <x:c r="C162" s="105" t="str">
        <x:v>융합</x:v>
      </x:c>
      <x:c r="D162" s="101" t="str">
        <x:v>기후변화와 환경생태</x:v>
      </x:c>
      <x:c r="E162" s="127"/>
      <x:c r="F162" s="128"/>
      <x:c r="G162" s="134"/>
      <x:c r="H162" s="128"/>
      <x:c r="I162" s="128"/>
      <x:c r="J162" s="134"/>
      <x:c r="K162" s="128"/>
      <x:c r="L162" s="128"/>
      <x:c r="M162" s="134"/>
      <x:c r="N162" s="128"/>
      <x:c r="O162" s="128"/>
      <x:c r="P162" s="134"/>
      <x:c r="Q162" s="128"/>
      <x:c r="R162" s="128"/>
      <x:c r="S162" s="134"/>
      <x:c r="T162" s="128" t="n">
        <x:f>'기존안 과목내역'!I145</x:f>
        <x:v>3</x:v>
      </x:c>
      <x:c r="U162" s="128" t="n">
        <x:f>'공통융합 배정'!I62</x:f>
        <x:v>0</x:v>
      </x:c>
      <x:c r="V162" s="137" t="n">
        <x:f>'공통융합 배정'!J62</x:f>
        <x:v>0</x:v>
      </x:c>
      <x:c r="W162" s="78"/>
      <x:c r="X162" s="78"/>
      <x:c r="Y162" s="78"/>
      <x:c r="Z162" s="78"/>
      <x:c r="AA162" s="78"/>
      <x:c r="AB162" s="78"/>
      <x:c r="AC162" s="78"/>
      <x:c r="AD162" s="78"/>
      <x:c r="AE162" s="78"/>
    </x:row>
    <x:row r="163" ht="24" customHeight="1">
      <x:c r="A163" s="78"/>
      <x:c r="B163" s="103"/>
      <x:c r="C163" s="105" t="str">
        <x:v>융합</x:v>
      </x:c>
      <x:c r="D163" s="101" t="str">
        <x:v>융합과학 탐구</x:v>
      </x:c>
      <x:c r="E163" s="130"/>
      <x:c r="F163" s="131"/>
      <x:c r="G163" s="135"/>
      <x:c r="H163" s="131"/>
      <x:c r="I163" s="131"/>
      <x:c r="J163" s="135"/>
      <x:c r="K163" s="131"/>
      <x:c r="L163" s="131"/>
      <x:c r="M163" s="135"/>
      <x:c r="N163" s="131"/>
      <x:c r="O163" s="131"/>
      <x:c r="P163" s="135"/>
      <x:c r="Q163" s="131"/>
      <x:c r="R163" s="131"/>
      <x:c r="S163" s="135"/>
      <x:c r="T163" s="131" t="n">
        <x:f>'기존안 과목내역'!I146</x:f>
        <x:v>3</x:v>
      </x:c>
      <x:c r="U163" s="131" t="n">
        <x:f>'공통융합 배정'!I63</x:f>
        <x:v>1</x:v>
      </x:c>
      <x:c r="V163" s="138" t="n">
        <x:f>'공통융합 배정'!J63</x:f>
        <x:v>3</x:v>
      </x:c>
      <x:c r="W163" s="78"/>
      <x:c r="X163" s="78"/>
      <x:c r="Y163" s="78"/>
      <x:c r="Z163" s="78"/>
      <x:c r="AA163" s="78"/>
      <x:c r="AB163" s="78"/>
      <x:c r="AC163" s="78"/>
      <x:c r="AD163" s="78"/>
      <x:c r="AE163" s="78"/>
    </x:row>
    <x:row r="164" ht="30" customHeight="1">
      <x:c r="A164" s="78"/>
      <x:c r="B164" s="141" t="str">
        <x:v>화학 합계</x:v>
      </x:c>
      <x:c r="C164" s="141"/>
      <x:c r="D164" s="141"/>
      <x:c r="E164" s="141"/>
      <x:c r="F164" s="141"/>
      <x:c r="G164" s="141" t="n">
        <x:f>SUM(G168,G169)</x:f>
        <x:v>8</x:v>
      </x:c>
      <x:c r="H164" s="141"/>
      <x:c r="I164" s="141"/>
      <x:c r="J164" s="141" t="n">
        <x:f>SUM(J170,J171)</x:f>
        <x:v>21</x:v>
      </x:c>
      <x:c r="K164" s="141"/>
      <x:c r="L164" s="141"/>
      <x:c r="M164" s="141" t="n">
        <x:f>SUM(M165)</x:f>
        <x:v>15</x:v>
      </x:c>
      <x:c r="N164" s="141"/>
      <x:c r="O164" s="141"/>
      <x:c r="P164" s="141" t="n">
        <x:f>SUM(P167)</x:f>
        <x:v>15</x:v>
      </x:c>
      <x:c r="Q164" s="141"/>
      <x:c r="R164" s="141"/>
      <x:c r="S164" s="141" t="n">
        <x:f>SUM(S166)</x:f>
        <x:v>21</x:v>
      </x:c>
      <x:c r="T164" s="141"/>
      <x:c r="U164" s="141"/>
      <x:c r="V164" s="141" t="n">
        <x:f>SUM(V172,V173,V174)</x:f>
        <x:v>18</x:v>
      </x:c>
      <x:c r="W164" s="141" t="n">
        <x:f>IF(ISNUMBER('산정근거'!C15),'산정근거'!C15,"미정")</x:f>
        <x:v>3</x:v>
      </x:c>
      <x:c r="X164" s="143" t="n">
        <x:f>SUM(M165,S166)</x:f>
        <x:v>36</x:v>
      </x:c>
      <x:c r="Y164" s="143" t="n">
        <x:f>SUM(G168,G169)</x:f>
        <x:v>8</x:v>
      </x:c>
      <x:c r="Z164" s="143" t="n">
        <x:f>X164+Y164</x:f>
        <x:v>44</x:v>
      </x:c>
      <x:c r="AA164" s="144" t="n">
        <x:f>IF(OR(NOT(ISNUMBER(W164)),W164&lt;=0),"미정",Z164/W164)</x:f>
        <x:v>14.666666666666666</x:v>
      </x:c>
      <x:c r="AB164" s="143" t="n">
        <x:f>SUM(P167)</x:f>
        <x:v>15</x:v>
      </x:c>
      <x:c r="AC164" s="143" t="n">
        <x:f>SUM(J170,J171,V172,V173,V174)</x:f>
        <x:v>39</x:v>
      </x:c>
      <x:c r="AD164" s="143" t="n">
        <x:f>AB164+AC164</x:f>
        <x:v>54</x:v>
      </x:c>
      <x:c r="AE164" s="144" t="n">
        <x:f>IF(OR(NOT(ISNUMBER(W164)),W164&lt;=0),"미정",AD164/W164)</x:f>
        <x:v>18</x:v>
      </x:c>
    </x:row>
    <x:row r="165" ht="24" customHeight="1">
      <x:c r="A165" s="78"/>
      <x:c r="B165" s="103" t="str">
        <x:v>화학</x:v>
      </x:c>
      <x:c r="C165" s="104" t="str">
        <x:v>자체</x:v>
      </x:c>
      <x:c r="D165" s="81" t="str">
        <x:v>화학</x:v>
      </x:c>
      <x:c r="E165" s="124"/>
      <x:c r="F165" s="125"/>
      <x:c r="G165" s="133"/>
      <x:c r="H165" s="125"/>
      <x:c r="I165" s="125"/>
      <x:c r="J165" s="133"/>
      <x:c r="K165" s="125" t="n">
        <x:f>'기존안 과목내역'!I117</x:f>
        <x:v>3</x:v>
      </x:c>
      <x:c r="L165" s="125" t="n">
        <x:f>'기존안 과목내역'!J117</x:f>
        <x:v>5</x:v>
      </x:c>
      <x:c r="M165" s="133" t="n">
        <x:f>K165*L165</x:f>
        <x:v>15</x:v>
      </x:c>
      <x:c r="N165" s="125"/>
      <x:c r="O165" s="125"/>
      <x:c r="P165" s="133"/>
      <x:c r="Q165" s="125"/>
      <x:c r="R165" s="125"/>
      <x:c r="S165" s="133"/>
      <x:c r="T165" s="125"/>
      <x:c r="U165" s="125"/>
      <x:c r="V165" s="136"/>
      <x:c r="W165" s="78"/>
      <x:c r="X165" s="78"/>
      <x:c r="Y165" s="78"/>
      <x:c r="Z165" s="78"/>
      <x:c r="AA165" s="78"/>
      <x:c r="AB165" s="78"/>
      <x:c r="AC165" s="78"/>
      <x:c r="AD165" s="78"/>
      <x:c r="AE165" s="78"/>
    </x:row>
    <x:row r="166" ht="24" customHeight="1">
      <x:c r="A166" s="78"/>
      <x:c r="B166" s="103"/>
      <x:c r="C166" s="104" t="str">
        <x:v>자체</x:v>
      </x:c>
      <x:c r="D166" s="81" t="str">
        <x:v>물질과 에너지</x:v>
      </x:c>
      <x:c r="E166" s="127"/>
      <x:c r="F166" s="128"/>
      <x:c r="G166" s="134"/>
      <x:c r="H166" s="128"/>
      <x:c r="I166" s="128"/>
      <x:c r="J166" s="134"/>
      <x:c r="K166" s="128"/>
      <x:c r="L166" s="128"/>
      <x:c r="M166" s="134"/>
      <x:c r="N166" s="128"/>
      <x:c r="O166" s="128"/>
      <x:c r="P166" s="134"/>
      <x:c r="Q166" s="128" t="n">
        <x:f>'기존안 과목내역'!I123</x:f>
        <x:v>3</x:v>
      </x:c>
      <x:c r="R166" s="128" t="n">
        <x:f>'선택군비교'!H23</x:f>
        <x:v>7</x:v>
      </x:c>
      <x:c r="S166" s="134" t="n">
        <x:f>Q166*R166</x:f>
        <x:v>21</x:v>
      </x:c>
      <x:c r="T166" s="128"/>
      <x:c r="U166" s="128"/>
      <x:c r="V166" s="137"/>
      <x:c r="W166" s="78"/>
      <x:c r="X166" s="78"/>
      <x:c r="Y166" s="78"/>
      <x:c r="Z166" s="78"/>
      <x:c r="AA166" s="78"/>
      <x:c r="AB166" s="78"/>
      <x:c r="AC166" s="78"/>
      <x:c r="AD166" s="78"/>
      <x:c r="AE166" s="78"/>
    </x:row>
    <x:row r="167" ht="24" customHeight="1">
      <x:c r="A167" s="78"/>
      <x:c r="B167" s="103"/>
      <x:c r="C167" s="104" t="str">
        <x:v>자체</x:v>
      </x:c>
      <x:c r="D167" s="81" t="str">
        <x:v>화학 반응의 세계</x:v>
      </x:c>
      <x:c r="E167" s="127"/>
      <x:c r="F167" s="128"/>
      <x:c r="G167" s="134"/>
      <x:c r="H167" s="128"/>
      <x:c r="I167" s="128"/>
      <x:c r="J167" s="134"/>
      <x:c r="K167" s="128"/>
      <x:c r="L167" s="128"/>
      <x:c r="M167" s="134"/>
      <x:c r="N167" s="128" t="n">
        <x:f>'기존안 과목내역'!I140</x:f>
        <x:v>3</x:v>
      </x:c>
      <x:c r="O167" s="128" t="n">
        <x:f>'기존안 과목내역'!J140</x:f>
        <x:v>5</x:v>
      </x:c>
      <x:c r="P167" s="134" t="n">
        <x:f>N167*O167</x:f>
        <x:v>15</x:v>
      </x:c>
      <x:c r="Q167" s="128"/>
      <x:c r="R167" s="128"/>
      <x:c r="S167" s="134"/>
      <x:c r="T167" s="128"/>
      <x:c r="U167" s="128"/>
      <x:c r="V167" s="137"/>
      <x:c r="W167" s="78"/>
      <x:c r="X167" s="78"/>
      <x:c r="Y167" s="78"/>
      <x:c r="Z167" s="78"/>
      <x:c r="AA167" s="78"/>
      <x:c r="AB167" s="78"/>
      <x:c r="AC167" s="78"/>
      <x:c r="AD167" s="78"/>
      <x:c r="AE167" s="78"/>
    </x:row>
    <x:row r="168" ht="24" customHeight="1">
      <x:c r="A168" s="78"/>
      <x:c r="B168" s="103"/>
      <x:c r="C168" s="105" t="str">
        <x:v>통합</x:v>
      </x:c>
      <x:c r="D168" s="101" t="str">
        <x:v>통합과학1</x:v>
      </x:c>
      <x:c r="E168" s="127" t="n">
        <x:f>'기존안 과목내역'!I108</x:f>
        <x:v>4</x:v>
      </x:c>
      <x:c r="F168" s="128" t="n">
        <x:f>'공통융합 배정'!K57</x:f>
        <x:v>1</x:v>
      </x:c>
      <x:c r="G168" s="134" t="n">
        <x:f>'공통융합 배정'!L57</x:f>
        <x:v>4</x:v>
      </x:c>
      <x:c r="H168" s="128"/>
      <x:c r="I168" s="128"/>
      <x:c r="J168" s="134"/>
      <x:c r="K168" s="128"/>
      <x:c r="L168" s="128"/>
      <x:c r="M168" s="134"/>
      <x:c r="N168" s="128"/>
      <x:c r="O168" s="128"/>
      <x:c r="P168" s="134"/>
      <x:c r="Q168" s="128"/>
      <x:c r="R168" s="128"/>
      <x:c r="S168" s="134"/>
      <x:c r="T168" s="128"/>
      <x:c r="U168" s="128"/>
      <x:c r="V168" s="137"/>
      <x:c r="W168" s="78"/>
      <x:c r="X168" s="78"/>
      <x:c r="Y168" s="78"/>
      <x:c r="Z168" s="78"/>
      <x:c r="AA168" s="78"/>
      <x:c r="AB168" s="78"/>
      <x:c r="AC168" s="78"/>
      <x:c r="AD168" s="78"/>
      <x:c r="AE168" s="78"/>
    </x:row>
    <x:row r="169" ht="24" customHeight="1">
      <x:c r="A169" s="78"/>
      <x:c r="B169" s="103"/>
      <x:c r="C169" s="105" t="str">
        <x:v>실험</x:v>
      </x:c>
      <x:c r="D169" s="101" t="str">
        <x:v>과학탐구실험1</x:v>
      </x:c>
      <x:c r="E169" s="127" t="n">
        <x:f>'기존안 과목내역'!I109</x:f>
        <x:v>1</x:v>
      </x:c>
      <x:c r="F169" s="128" t="n">
        <x:f>'공통융합 배정'!K58</x:f>
        <x:v>4</x:v>
      </x:c>
      <x:c r="G169" s="134" t="n">
        <x:f>'공통융합 배정'!L58</x:f>
        <x:v>4</x:v>
      </x:c>
      <x:c r="H169" s="128"/>
      <x:c r="I169" s="128"/>
      <x:c r="J169" s="134"/>
      <x:c r="K169" s="128"/>
      <x:c r="L169" s="128"/>
      <x:c r="M169" s="134"/>
      <x:c r="N169" s="128"/>
      <x:c r="O169" s="128"/>
      <x:c r="P169" s="134"/>
      <x:c r="Q169" s="128"/>
      <x:c r="R169" s="128"/>
      <x:c r="S169" s="134"/>
      <x:c r="T169" s="128"/>
      <x:c r="U169" s="128"/>
      <x:c r="V169" s="137"/>
      <x:c r="W169" s="78"/>
      <x:c r="X169" s="78"/>
      <x:c r="Y169" s="78"/>
      <x:c r="Z169" s="78"/>
      <x:c r="AA169" s="78"/>
      <x:c r="AB169" s="78"/>
      <x:c r="AC169" s="78"/>
      <x:c r="AD169" s="78"/>
      <x:c r="AE169" s="78"/>
    </x:row>
    <x:row r="170" ht="24" customHeight="1">
      <x:c r="A170" s="78"/>
      <x:c r="B170" s="103"/>
      <x:c r="C170" s="105" t="str">
        <x:v>통합</x:v>
      </x:c>
      <x:c r="D170" s="101" t="str">
        <x:v>통합과학2</x:v>
      </x:c>
      <x:c r="E170" s="127"/>
      <x:c r="F170" s="128"/>
      <x:c r="G170" s="134"/>
      <x:c r="H170" s="128" t="n">
        <x:f>'기존안 과목내역'!I129</x:f>
        <x:v>4</x:v>
      </x:c>
      <x:c r="I170" s="128" t="n">
        <x:f>'공통융합 배정'!K59</x:f>
        <x:v>5</x:v>
      </x:c>
      <x:c r="J170" s="134" t="n">
        <x:f>'공통융합 배정'!L59</x:f>
        <x:v>20</x:v>
      </x:c>
      <x:c r="K170" s="128"/>
      <x:c r="L170" s="128"/>
      <x:c r="M170" s="134"/>
      <x:c r="N170" s="128"/>
      <x:c r="O170" s="128"/>
      <x:c r="P170" s="134"/>
      <x:c r="Q170" s="128"/>
      <x:c r="R170" s="128"/>
      <x:c r="S170" s="134"/>
      <x:c r="T170" s="128"/>
      <x:c r="U170" s="128"/>
      <x:c r="V170" s="137"/>
      <x:c r="W170" s="78"/>
      <x:c r="X170" s="78"/>
      <x:c r="Y170" s="78"/>
      <x:c r="Z170" s="78"/>
      <x:c r="AA170" s="78"/>
      <x:c r="AB170" s="78"/>
      <x:c r="AC170" s="78"/>
      <x:c r="AD170" s="78"/>
      <x:c r="AE170" s="78"/>
    </x:row>
    <x:row r="171" ht="24" customHeight="1">
      <x:c r="A171" s="78"/>
      <x:c r="B171" s="103"/>
      <x:c r="C171" s="105" t="str">
        <x:v>실험</x:v>
      </x:c>
      <x:c r="D171" s="101" t="str">
        <x:v>과학탐구실험2</x:v>
      </x:c>
      <x:c r="E171" s="127"/>
      <x:c r="F171" s="128"/>
      <x:c r="G171" s="134"/>
      <x:c r="H171" s="128" t="n">
        <x:f>'기존안 과목내역'!I130</x:f>
        <x:v>1</x:v>
      </x:c>
      <x:c r="I171" s="128" t="n">
        <x:f>'공통융합 배정'!K60</x:f>
        <x:v>1</x:v>
      </x:c>
      <x:c r="J171" s="134" t="n">
        <x:f>'공통융합 배정'!L60</x:f>
        <x:v>1</x:v>
      </x:c>
      <x:c r="K171" s="128"/>
      <x:c r="L171" s="128"/>
      <x:c r="M171" s="134"/>
      <x:c r="N171" s="128"/>
      <x:c r="O171" s="128"/>
      <x:c r="P171" s="134"/>
      <x:c r="Q171" s="128"/>
      <x:c r="R171" s="128"/>
      <x:c r="S171" s="134"/>
      <x:c r="T171" s="128"/>
      <x:c r="U171" s="128"/>
      <x:c r="V171" s="137"/>
      <x:c r="W171" s="78"/>
      <x:c r="X171" s="78"/>
      <x:c r="Y171" s="78"/>
      <x:c r="Z171" s="78"/>
      <x:c r="AA171" s="78"/>
      <x:c r="AB171" s="78"/>
      <x:c r="AC171" s="78"/>
      <x:c r="AD171" s="78"/>
      <x:c r="AE171" s="78"/>
    </x:row>
    <x:row r="172" ht="24" customHeight="1">
      <x:c r="A172" s="78"/>
      <x:c r="B172" s="103"/>
      <x:c r="C172" s="105" t="str">
        <x:v>융합</x:v>
      </x:c>
      <x:c r="D172" s="101" t="str">
        <x:v>과학의 역사와 문화</x:v>
      </x:c>
      <x:c r="E172" s="127"/>
      <x:c r="F172" s="128"/>
      <x:c r="G172" s="134"/>
      <x:c r="H172" s="128"/>
      <x:c r="I172" s="128"/>
      <x:c r="J172" s="134"/>
      <x:c r="K172" s="128"/>
      <x:c r="L172" s="128"/>
      <x:c r="M172" s="134"/>
      <x:c r="N172" s="128"/>
      <x:c r="O172" s="128"/>
      <x:c r="P172" s="134"/>
      <x:c r="Q172" s="128"/>
      <x:c r="R172" s="128"/>
      <x:c r="S172" s="134"/>
      <x:c r="T172" s="128" t="n">
        <x:f>'기존안 과목내역'!I144</x:f>
        <x:v>3</x:v>
      </x:c>
      <x:c r="U172" s="128" t="n">
        <x:f>'공통융합 배정'!K61</x:f>
        <x:v>3</x:v>
      </x:c>
      <x:c r="V172" s="137" t="n">
        <x:f>'공통융합 배정'!L61</x:f>
        <x:v>9</x:v>
      </x:c>
      <x:c r="W172" s="78"/>
      <x:c r="X172" s="78"/>
      <x:c r="Y172" s="78"/>
      <x:c r="Z172" s="78"/>
      <x:c r="AA172" s="78"/>
      <x:c r="AB172" s="78"/>
      <x:c r="AC172" s="78"/>
      <x:c r="AD172" s="78"/>
      <x:c r="AE172" s="78"/>
    </x:row>
    <x:row r="173" ht="24" customHeight="1">
      <x:c r="A173" s="78"/>
      <x:c r="B173" s="103"/>
      <x:c r="C173" s="105" t="str">
        <x:v>융합</x:v>
      </x:c>
      <x:c r="D173" s="101" t="str">
        <x:v>기후변화와 환경생태</x:v>
      </x:c>
      <x:c r="E173" s="127"/>
      <x:c r="F173" s="128"/>
      <x:c r="G173" s="134"/>
      <x:c r="H173" s="128"/>
      <x:c r="I173" s="128"/>
      <x:c r="J173" s="134"/>
      <x:c r="K173" s="128"/>
      <x:c r="L173" s="128"/>
      <x:c r="M173" s="134"/>
      <x:c r="N173" s="128"/>
      <x:c r="O173" s="128"/>
      <x:c r="P173" s="134"/>
      <x:c r="Q173" s="128"/>
      <x:c r="R173" s="128"/>
      <x:c r="S173" s="134"/>
      <x:c r="T173" s="128" t="n">
        <x:f>'기존안 과목내역'!I145</x:f>
        <x:v>3</x:v>
      </x:c>
      <x:c r="U173" s="128" t="n">
        <x:f>'공통융합 배정'!K62</x:f>
        <x:v>0</x:v>
      </x:c>
      <x:c r="V173" s="137" t="n">
        <x:f>'공통융합 배정'!L62</x:f>
        <x:v>0</x:v>
      </x:c>
      <x:c r="W173" s="78"/>
      <x:c r="X173" s="78"/>
      <x:c r="Y173" s="78"/>
      <x:c r="Z173" s="78"/>
      <x:c r="AA173" s="78"/>
      <x:c r="AB173" s="78"/>
      <x:c r="AC173" s="78"/>
      <x:c r="AD173" s="78"/>
      <x:c r="AE173" s="78"/>
    </x:row>
    <x:row r="174" ht="24" customHeight="1">
      <x:c r="A174" s="78"/>
      <x:c r="B174" s="103"/>
      <x:c r="C174" s="105" t="str">
        <x:v>융합</x:v>
      </x:c>
      <x:c r="D174" s="101" t="str">
        <x:v>융합과학 탐구</x:v>
      </x:c>
      <x:c r="E174" s="130"/>
      <x:c r="F174" s="131"/>
      <x:c r="G174" s="135"/>
      <x:c r="H174" s="131"/>
      <x:c r="I174" s="131"/>
      <x:c r="J174" s="135"/>
      <x:c r="K174" s="131"/>
      <x:c r="L174" s="131"/>
      <x:c r="M174" s="135"/>
      <x:c r="N174" s="131"/>
      <x:c r="O174" s="131"/>
      <x:c r="P174" s="135"/>
      <x:c r="Q174" s="131"/>
      <x:c r="R174" s="131"/>
      <x:c r="S174" s="135"/>
      <x:c r="T174" s="131" t="n">
        <x:f>'기존안 과목내역'!I146</x:f>
        <x:v>3</x:v>
      </x:c>
      <x:c r="U174" s="131" t="n">
        <x:f>'공통융합 배정'!K63</x:f>
        <x:v>3</x:v>
      </x:c>
      <x:c r="V174" s="138" t="n">
        <x:f>'공통융합 배정'!L63</x:f>
        <x:v>9</x:v>
      </x:c>
      <x:c r="W174" s="78"/>
      <x:c r="X174" s="78"/>
      <x:c r="Y174" s="78"/>
      <x:c r="Z174" s="78"/>
      <x:c r="AA174" s="78"/>
      <x:c r="AB174" s="78"/>
      <x:c r="AC174" s="78"/>
      <x:c r="AD174" s="78"/>
      <x:c r="AE174" s="78"/>
    </x:row>
    <x:row r="175" ht="30" customHeight="1">
      <x:c r="A175" s="78"/>
      <x:c r="B175" s="141" t="str">
        <x:v>생명과학 합계</x:v>
      </x:c>
      <x:c r="C175" s="141"/>
      <x:c r="D175" s="141"/>
      <x:c r="E175" s="141"/>
      <x:c r="F175" s="141"/>
      <x:c r="G175" s="141" t="n">
        <x:f>SUM(G179,G180)</x:f>
        <x:v>10</x:v>
      </x:c>
      <x:c r="H175" s="141"/>
      <x:c r="I175" s="141"/>
      <x:c r="J175" s="141" t="n">
        <x:f>SUM(J181,J182)</x:f>
        <x:v>12</x:v>
      </x:c>
      <x:c r="K175" s="141"/>
      <x:c r="L175" s="141"/>
      <x:c r="M175" s="141" t="n">
        <x:f>SUM(M176)</x:f>
        <x:v>15</x:v>
      </x:c>
      <x:c r="N175" s="141"/>
      <x:c r="O175" s="141"/>
      <x:c r="P175" s="141" t="n">
        <x:f>SUM(P178)</x:f>
        <x:v>12</x:v>
      </x:c>
      <x:c r="Q175" s="141"/>
      <x:c r="R175" s="141"/>
      <x:c r="S175" s="141" t="n">
        <x:f>SUM(S177)</x:f>
        <x:v>18</x:v>
      </x:c>
      <x:c r="T175" s="141"/>
      <x:c r="U175" s="141"/>
      <x:c r="V175" s="141" t="n">
        <x:f>SUM(V183,V184,V185)</x:f>
        <x:v>30</x:v>
      </x:c>
      <x:c r="W175" s="141" t="n">
        <x:f>IF(ISNUMBER('산정근거'!C16),'산정근거'!C16,"미정")</x:f>
        <x:v>3</x:v>
      </x:c>
      <x:c r="X175" s="143" t="n">
        <x:f>SUM(M176,S177)</x:f>
        <x:v>33</x:v>
      </x:c>
      <x:c r="Y175" s="143" t="n">
        <x:f>SUM(G179,G180)</x:f>
        <x:v>10</x:v>
      </x:c>
      <x:c r="Z175" s="143" t="n">
        <x:f>X175+Y175</x:f>
        <x:v>43</x:v>
      </x:c>
      <x:c r="AA175" s="144" t="n">
        <x:f>IF(OR(NOT(ISNUMBER(W175)),W175&lt;=0),"미정",Z175/W175)</x:f>
        <x:v>14.333333333333334</x:v>
      </x:c>
      <x:c r="AB175" s="143" t="n">
        <x:f>SUM(P178)</x:f>
        <x:v>12</x:v>
      </x:c>
      <x:c r="AC175" s="143" t="n">
        <x:f>SUM(J181,J182,V183,V184,V185)</x:f>
        <x:v>42</x:v>
      </x:c>
      <x:c r="AD175" s="143" t="n">
        <x:f>AB175+AC175</x:f>
        <x:v>54</x:v>
      </x:c>
      <x:c r="AE175" s="144" t="n">
        <x:f>IF(OR(NOT(ISNUMBER(W175)),W175&lt;=0),"미정",AD175/W175)</x:f>
        <x:v>18</x:v>
      </x:c>
    </x:row>
    <x:row r="176" ht="24" customHeight="1">
      <x:c r="A176" s="78"/>
      <x:c r="B176" s="103" t="str">
        <x:v>생물</x:v>
      </x:c>
      <x:c r="C176" s="104" t="str">
        <x:v>자체</x:v>
      </x:c>
      <x:c r="D176" s="81" t="str">
        <x:v>생명과학</x:v>
      </x:c>
      <x:c r="E176" s="124"/>
      <x:c r="F176" s="125"/>
      <x:c r="G176" s="133"/>
      <x:c r="H176" s="125"/>
      <x:c r="I176" s="125"/>
      <x:c r="J176" s="133"/>
      <x:c r="K176" s="125" t="n">
        <x:f>'기존안 과목내역'!I115</x:f>
        <x:v>3</x:v>
      </x:c>
      <x:c r="L176" s="125" t="n">
        <x:f>'기존안 과목내역'!J115</x:f>
        <x:v>5</x:v>
      </x:c>
      <x:c r="M176" s="133" t="n">
        <x:f>K176*L176</x:f>
        <x:v>15</x:v>
      </x:c>
      <x:c r="N176" s="125"/>
      <x:c r="O176" s="125"/>
      <x:c r="P176" s="133"/>
      <x:c r="Q176" s="125"/>
      <x:c r="R176" s="125"/>
      <x:c r="S176" s="133"/>
      <x:c r="T176" s="125"/>
      <x:c r="U176" s="125"/>
      <x:c r="V176" s="136"/>
      <x:c r="W176" s="78"/>
      <x:c r="X176" s="78"/>
      <x:c r="Y176" s="78"/>
      <x:c r="Z176" s="78"/>
      <x:c r="AA176" s="78"/>
      <x:c r="AB176" s="78"/>
      <x:c r="AC176" s="78"/>
      <x:c r="AD176" s="78"/>
      <x:c r="AE176" s="78"/>
    </x:row>
    <x:row r="177" ht="24" customHeight="1">
      <x:c r="A177" s="78"/>
      <x:c r="B177" s="103"/>
      <x:c r="C177" s="104" t="str">
        <x:v>자체</x:v>
      </x:c>
      <x:c r="D177" s="81" t="str">
        <x:v>세포와 물질대사</x:v>
      </x:c>
      <x:c r="E177" s="127"/>
      <x:c r="F177" s="128"/>
      <x:c r="G177" s="134"/>
      <x:c r="H177" s="128"/>
      <x:c r="I177" s="128"/>
      <x:c r="J177" s="134"/>
      <x:c r="K177" s="128"/>
      <x:c r="L177" s="128"/>
      <x:c r="M177" s="134"/>
      <x:c r="N177" s="128"/>
      <x:c r="O177" s="128"/>
      <x:c r="P177" s="134"/>
      <x:c r="Q177" s="128" t="n">
        <x:f>'기존안 과목내역'!I124</x:f>
        <x:v>3</x:v>
      </x:c>
      <x:c r="R177" s="128" t="n">
        <x:f>'선택군비교'!H24</x:f>
        <x:v>6</x:v>
      </x:c>
      <x:c r="S177" s="134" t="n">
        <x:f>Q177*R177</x:f>
        <x:v>18</x:v>
      </x:c>
      <x:c r="T177" s="128"/>
      <x:c r="U177" s="128"/>
      <x:c r="V177" s="137"/>
      <x:c r="W177" s="78"/>
      <x:c r="X177" s="78"/>
      <x:c r="Y177" s="78"/>
      <x:c r="Z177" s="78"/>
      <x:c r="AA177" s="78"/>
      <x:c r="AB177" s="78"/>
      <x:c r="AC177" s="78"/>
      <x:c r="AD177" s="78"/>
      <x:c r="AE177" s="78"/>
    </x:row>
    <x:row r="178" ht="24" customHeight="1">
      <x:c r="A178" s="78"/>
      <x:c r="B178" s="103"/>
      <x:c r="C178" s="104" t="str">
        <x:v>자체</x:v>
      </x:c>
      <x:c r="D178" s="81" t="str">
        <x:v>생물의 유전</x:v>
      </x:c>
      <x:c r="E178" s="127"/>
      <x:c r="F178" s="128"/>
      <x:c r="G178" s="134"/>
      <x:c r="H178" s="128"/>
      <x:c r="I178" s="128"/>
      <x:c r="J178" s="134"/>
      <x:c r="K178" s="128"/>
      <x:c r="L178" s="128"/>
      <x:c r="M178" s="134"/>
      <x:c r="N178" s="128" t="n">
        <x:f>'기존안 과목내역'!I137</x:f>
        <x:v>3</x:v>
      </x:c>
      <x:c r="O178" s="128" t="n">
        <x:f>'기존안 과목내역'!J137</x:f>
        <x:v>4</x:v>
      </x:c>
      <x:c r="P178" s="134" t="n">
        <x:f>N178*O178</x:f>
        <x:v>12</x:v>
      </x:c>
      <x:c r="Q178" s="128"/>
      <x:c r="R178" s="128"/>
      <x:c r="S178" s="134"/>
      <x:c r="T178" s="128"/>
      <x:c r="U178" s="128"/>
      <x:c r="V178" s="137"/>
      <x:c r="W178" s="78"/>
      <x:c r="X178" s="78"/>
      <x:c r="Y178" s="78"/>
      <x:c r="Z178" s="78"/>
      <x:c r="AA178" s="78"/>
      <x:c r="AB178" s="78"/>
      <x:c r="AC178" s="78"/>
      <x:c r="AD178" s="78"/>
      <x:c r="AE178" s="78"/>
    </x:row>
    <x:row r="179" ht="24" customHeight="1">
      <x:c r="A179" s="78"/>
      <x:c r="B179" s="103"/>
      <x:c r="C179" s="105" t="str">
        <x:v>통합</x:v>
      </x:c>
      <x:c r="D179" s="101" t="str">
        <x:v>통합과학1</x:v>
      </x:c>
      <x:c r="E179" s="127" t="n">
        <x:f>'기존안 과목내역'!I108</x:f>
        <x:v>4</x:v>
      </x:c>
      <x:c r="F179" s="128" t="n">
        <x:f>'공통융합 배정'!M57</x:f>
        <x:v>2</x:v>
      </x:c>
      <x:c r="G179" s="134" t="n">
        <x:f>'공통융합 배정'!N57</x:f>
        <x:v>8</x:v>
      </x:c>
      <x:c r="H179" s="128"/>
      <x:c r="I179" s="128"/>
      <x:c r="J179" s="134"/>
      <x:c r="K179" s="128"/>
      <x:c r="L179" s="128"/>
      <x:c r="M179" s="134"/>
      <x:c r="N179" s="128"/>
      <x:c r="O179" s="128"/>
      <x:c r="P179" s="134"/>
      <x:c r="Q179" s="128"/>
      <x:c r="R179" s="128"/>
      <x:c r="S179" s="134"/>
      <x:c r="T179" s="128"/>
      <x:c r="U179" s="128"/>
      <x:c r="V179" s="137"/>
      <x:c r="W179" s="78"/>
      <x:c r="X179" s="78"/>
      <x:c r="Y179" s="78"/>
      <x:c r="Z179" s="78"/>
      <x:c r="AA179" s="78"/>
      <x:c r="AB179" s="78"/>
      <x:c r="AC179" s="78"/>
      <x:c r="AD179" s="78"/>
      <x:c r="AE179" s="78"/>
    </x:row>
    <x:row r="180" ht="24" customHeight="1">
      <x:c r="A180" s="78"/>
      <x:c r="B180" s="103"/>
      <x:c r="C180" s="105" t="str">
        <x:v>실험</x:v>
      </x:c>
      <x:c r="D180" s="101" t="str">
        <x:v>과학탐구실험1</x:v>
      </x:c>
      <x:c r="E180" s="127" t="n">
        <x:f>'기존안 과목내역'!I109</x:f>
        <x:v>1</x:v>
      </x:c>
      <x:c r="F180" s="128" t="n">
        <x:f>'공통융합 배정'!M58</x:f>
        <x:v>2</x:v>
      </x:c>
      <x:c r="G180" s="134" t="n">
        <x:f>'공통융합 배정'!N58</x:f>
        <x:v>2</x:v>
      </x:c>
      <x:c r="H180" s="128"/>
      <x:c r="I180" s="128"/>
      <x:c r="J180" s="134"/>
      <x:c r="K180" s="128"/>
      <x:c r="L180" s="128"/>
      <x:c r="M180" s="134"/>
      <x:c r="N180" s="128"/>
      <x:c r="O180" s="128"/>
      <x:c r="P180" s="134"/>
      <x:c r="Q180" s="128"/>
      <x:c r="R180" s="128"/>
      <x:c r="S180" s="134"/>
      <x:c r="T180" s="128"/>
      <x:c r="U180" s="128"/>
      <x:c r="V180" s="137"/>
      <x:c r="W180" s="78"/>
      <x:c r="X180" s="78"/>
      <x:c r="Y180" s="78"/>
      <x:c r="Z180" s="78"/>
      <x:c r="AA180" s="78"/>
      <x:c r="AB180" s="78"/>
      <x:c r="AC180" s="78"/>
      <x:c r="AD180" s="78"/>
      <x:c r="AE180" s="78"/>
    </x:row>
    <x:row r="181" ht="24" customHeight="1">
      <x:c r="A181" s="78"/>
      <x:c r="B181" s="103"/>
      <x:c r="C181" s="105" t="str">
        <x:v>통합</x:v>
      </x:c>
      <x:c r="D181" s="101" t="str">
        <x:v>통합과학2</x:v>
      </x:c>
      <x:c r="E181" s="127"/>
      <x:c r="F181" s="128"/>
      <x:c r="G181" s="134"/>
      <x:c r="H181" s="128" t="n">
        <x:f>'기존안 과목내역'!I129</x:f>
        <x:v>4</x:v>
      </x:c>
      <x:c r="I181" s="128" t="n">
        <x:f>'공통융합 배정'!M59</x:f>
        <x:v>2</x:v>
      </x:c>
      <x:c r="J181" s="134" t="n">
        <x:f>'공통융합 배정'!N59</x:f>
        <x:v>8</x:v>
      </x:c>
      <x:c r="K181" s="128"/>
      <x:c r="L181" s="128"/>
      <x:c r="M181" s="134"/>
      <x:c r="N181" s="128"/>
      <x:c r="O181" s="128"/>
      <x:c r="P181" s="134"/>
      <x:c r="Q181" s="128"/>
      <x:c r="R181" s="128"/>
      <x:c r="S181" s="134"/>
      <x:c r="T181" s="128"/>
      <x:c r="U181" s="128"/>
      <x:c r="V181" s="137"/>
      <x:c r="W181" s="78"/>
      <x:c r="X181" s="78"/>
      <x:c r="Y181" s="78"/>
      <x:c r="Z181" s="78"/>
      <x:c r="AA181" s="78"/>
      <x:c r="AB181" s="78"/>
      <x:c r="AC181" s="78"/>
      <x:c r="AD181" s="78"/>
      <x:c r="AE181" s="78"/>
    </x:row>
    <x:row r="182" ht="24" customHeight="1">
      <x:c r="A182" s="78"/>
      <x:c r="B182" s="103"/>
      <x:c r="C182" s="105" t="str">
        <x:v>실험</x:v>
      </x:c>
      <x:c r="D182" s="101" t="str">
        <x:v>과학탐구실험2</x:v>
      </x:c>
      <x:c r="E182" s="127"/>
      <x:c r="F182" s="128"/>
      <x:c r="G182" s="134"/>
      <x:c r="H182" s="128" t="n">
        <x:f>'기존안 과목내역'!I130</x:f>
        <x:v>1</x:v>
      </x:c>
      <x:c r="I182" s="128" t="n">
        <x:f>'공통융합 배정'!M60</x:f>
        <x:v>4</x:v>
      </x:c>
      <x:c r="J182" s="134" t="n">
        <x:f>'공통융합 배정'!N60</x:f>
        <x:v>4</x:v>
      </x:c>
      <x:c r="K182" s="128"/>
      <x:c r="L182" s="128"/>
      <x:c r="M182" s="134"/>
      <x:c r="N182" s="128"/>
      <x:c r="O182" s="128"/>
      <x:c r="P182" s="134"/>
      <x:c r="Q182" s="128"/>
      <x:c r="R182" s="128"/>
      <x:c r="S182" s="134"/>
      <x:c r="T182" s="128"/>
      <x:c r="U182" s="128"/>
      <x:c r="V182" s="137"/>
      <x:c r="W182" s="78"/>
      <x:c r="X182" s="78"/>
      <x:c r="Y182" s="78"/>
      <x:c r="Z182" s="78"/>
      <x:c r="AA182" s="78"/>
      <x:c r="AB182" s="78"/>
      <x:c r="AC182" s="78"/>
      <x:c r="AD182" s="78"/>
      <x:c r="AE182" s="78"/>
    </x:row>
    <x:row r="183" ht="24" customHeight="1">
      <x:c r="A183" s="78"/>
      <x:c r="B183" s="103"/>
      <x:c r="C183" s="105" t="str">
        <x:v>융합</x:v>
      </x:c>
      <x:c r="D183" s="101" t="str">
        <x:v>과학의 역사와 문화</x:v>
      </x:c>
      <x:c r="E183" s="127"/>
      <x:c r="F183" s="128"/>
      <x:c r="G183" s="134"/>
      <x:c r="H183" s="128"/>
      <x:c r="I183" s="128"/>
      <x:c r="J183" s="134"/>
      <x:c r="K183" s="128"/>
      <x:c r="L183" s="128"/>
      <x:c r="M183" s="134"/>
      <x:c r="N183" s="128"/>
      <x:c r="O183" s="128"/>
      <x:c r="P183" s="134"/>
      <x:c r="Q183" s="128"/>
      <x:c r="R183" s="128"/>
      <x:c r="S183" s="134"/>
      <x:c r="T183" s="128" t="n">
        <x:f>'기존안 과목내역'!I144</x:f>
        <x:v>3</x:v>
      </x:c>
      <x:c r="U183" s="128" t="n">
        <x:f>'공통융합 배정'!M61</x:f>
        <x:v>2</x:v>
      </x:c>
      <x:c r="V183" s="137" t="n">
        <x:f>'공통융합 배정'!N61</x:f>
        <x:v>6</x:v>
      </x:c>
      <x:c r="W183" s="78"/>
      <x:c r="X183" s="78"/>
      <x:c r="Y183" s="78"/>
      <x:c r="Z183" s="78"/>
      <x:c r="AA183" s="78"/>
      <x:c r="AB183" s="78"/>
      <x:c r="AC183" s="78"/>
      <x:c r="AD183" s="78"/>
      <x:c r="AE183" s="78"/>
    </x:row>
    <x:row r="184" ht="24" customHeight="1">
      <x:c r="A184" s="78"/>
      <x:c r="B184" s="103"/>
      <x:c r="C184" s="105" t="str">
        <x:v>융합</x:v>
      </x:c>
      <x:c r="D184" s="101" t="str">
        <x:v>기후변화와 환경생태</x:v>
      </x:c>
      <x:c r="E184" s="127"/>
      <x:c r="F184" s="128"/>
      <x:c r="G184" s="134"/>
      <x:c r="H184" s="128"/>
      <x:c r="I184" s="128"/>
      <x:c r="J184" s="134"/>
      <x:c r="K184" s="128"/>
      <x:c r="L184" s="128"/>
      <x:c r="M184" s="134"/>
      <x:c r="N184" s="128"/>
      <x:c r="O184" s="128"/>
      <x:c r="P184" s="134"/>
      <x:c r="Q184" s="128"/>
      <x:c r="R184" s="128"/>
      <x:c r="S184" s="134"/>
      <x:c r="T184" s="128" t="n">
        <x:f>'기존안 과목내역'!I145</x:f>
        <x:v>3</x:v>
      </x:c>
      <x:c r="U184" s="128" t="n">
        <x:f>'공통융합 배정'!M62</x:f>
        <x:v>6</x:v>
      </x:c>
      <x:c r="V184" s="137" t="n">
        <x:f>'공통융합 배정'!N62</x:f>
        <x:v>18</x:v>
      </x:c>
      <x:c r="W184" s="78"/>
      <x:c r="X184" s="78"/>
      <x:c r="Y184" s="78"/>
      <x:c r="Z184" s="78"/>
      <x:c r="AA184" s="78"/>
      <x:c r="AB184" s="78"/>
      <x:c r="AC184" s="78"/>
      <x:c r="AD184" s="78"/>
      <x:c r="AE184" s="78"/>
    </x:row>
    <x:row r="185" ht="24" customHeight="1">
      <x:c r="A185" s="78"/>
      <x:c r="B185" s="103"/>
      <x:c r="C185" s="105" t="str">
        <x:v>융합</x:v>
      </x:c>
      <x:c r="D185" s="101" t="str">
        <x:v>융합과학 탐구</x:v>
      </x:c>
      <x:c r="E185" s="130"/>
      <x:c r="F185" s="131"/>
      <x:c r="G185" s="135"/>
      <x:c r="H185" s="131"/>
      <x:c r="I185" s="131"/>
      <x:c r="J185" s="135"/>
      <x:c r="K185" s="131"/>
      <x:c r="L185" s="131"/>
      <x:c r="M185" s="135"/>
      <x:c r="N185" s="131"/>
      <x:c r="O185" s="131"/>
      <x:c r="P185" s="135"/>
      <x:c r="Q185" s="131"/>
      <x:c r="R185" s="131"/>
      <x:c r="S185" s="135"/>
      <x:c r="T185" s="131" t="n">
        <x:f>'기존안 과목내역'!I146</x:f>
        <x:v>3</x:v>
      </x:c>
      <x:c r="U185" s="131" t="n">
        <x:f>'공통융합 배정'!M63</x:f>
        <x:v>2</x:v>
      </x:c>
      <x:c r="V185" s="138" t="n">
        <x:f>'공통융합 배정'!N63</x:f>
        <x:v>6</x:v>
      </x:c>
      <x:c r="W185" s="78"/>
      <x:c r="X185" s="78"/>
      <x:c r="Y185" s="78"/>
      <x:c r="Z185" s="78"/>
      <x:c r="AA185" s="78"/>
      <x:c r="AB185" s="78"/>
      <x:c r="AC185" s="78"/>
      <x:c r="AD185" s="78"/>
      <x:c r="AE185" s="78"/>
    </x:row>
    <x:row r="186" ht="30" customHeight="1">
      <x:c r="A186" s="78"/>
      <x:c r="B186" s="141" t="str">
        <x:v>지구과학 합계</x:v>
      </x:c>
      <x:c r="C186" s="141"/>
      <x:c r="D186" s="141"/>
      <x:c r="E186" s="141"/>
      <x:c r="F186" s="141"/>
      <x:c r="G186" s="141" t="n">
        <x:f>SUM(G190,G191)</x:f>
        <x:v>31</x:v>
      </x:c>
      <x:c r="H186" s="141"/>
      <x:c r="I186" s="141"/>
      <x:c r="J186" s="141" t="n">
        <x:f>SUM(J192,J193)</x:f>
        <x:v>12</x:v>
      </x:c>
      <x:c r="K186" s="141"/>
      <x:c r="L186" s="141"/>
      <x:c r="M186" s="141" t="n">
        <x:f>SUM(M187)</x:f>
        <x:v>12</x:v>
      </x:c>
      <x:c r="N186" s="141"/>
      <x:c r="O186" s="141"/>
      <x:c r="P186" s="141" t="n">
        <x:f>SUM(P187,P189)</x:f>
        <x:v>15</x:v>
      </x:c>
      <x:c r="Q186" s="141"/>
      <x:c r="R186" s="141"/>
      <x:c r="S186" s="141" t="n">
        <x:f>SUM(S188)</x:f>
        <x:v>0</x:v>
      </x:c>
      <x:c r="T186" s="141"/>
      <x:c r="U186" s="141"/>
      <x:c r="V186" s="141" t="n">
        <x:f>SUM(V194,V195,V196)</x:f>
        <x:v>27</x:v>
      </x:c>
      <x:c r="W186" s="141" t="n">
        <x:f>IF(ISNUMBER('산정근거'!C17),'산정근거'!C17,"미정")</x:f>
        <x:v>3</x:v>
      </x:c>
      <x:c r="X186" s="143" t="n">
        <x:f>SUM(M187,S188)</x:f>
        <x:v>12</x:v>
      </x:c>
      <x:c r="Y186" s="143" t="n">
        <x:f>SUM(G190,G191)</x:f>
        <x:v>31</x:v>
      </x:c>
      <x:c r="Z186" s="143" t="n">
        <x:f>X186+Y186</x:f>
        <x:v>43</x:v>
      </x:c>
      <x:c r="AA186" s="144" t="n">
        <x:f>IF(OR(NOT(ISNUMBER(W186)),W186&lt;=0),"미정",Z186/W186)</x:f>
        <x:v>14.333333333333334</x:v>
      </x:c>
      <x:c r="AB186" s="143" t="n">
        <x:f>SUM(P187,P189)</x:f>
        <x:v>15</x:v>
      </x:c>
      <x:c r="AC186" s="143" t="n">
        <x:f>SUM(J192,J193,V194,V195,V196)</x:f>
        <x:v>39</x:v>
      </x:c>
      <x:c r="AD186" s="143" t="n">
        <x:f>AB186+AC186</x:f>
        <x:v>54</x:v>
      </x:c>
      <x:c r="AE186" s="144" t="n">
        <x:f>IF(OR(NOT(ISNUMBER(W186)),W186&lt;=0),"미정",AD186/W186)</x:f>
        <x:v>18</x:v>
      </x:c>
    </x:row>
    <x:row r="187" ht="24" customHeight="1">
      <x:c r="A187" s="78"/>
      <x:c r="B187" s="103" t="str">
        <x:v>지구과학</x:v>
      </x:c>
      <x:c r="C187" s="104" t="str">
        <x:v>자체</x:v>
      </x:c>
      <x:c r="D187" s="81" t="str">
        <x:v>지구과학</x:v>
      </x:c>
      <x:c r="E187" s="124"/>
      <x:c r="F187" s="125"/>
      <x:c r="G187" s="133"/>
      <x:c r="H187" s="125"/>
      <x:c r="I187" s="125"/>
      <x:c r="J187" s="133"/>
      <x:c r="K187" s="125" t="n">
        <x:f>'기존안 과목내역'!I116</x:f>
        <x:v>3</x:v>
      </x:c>
      <x:c r="L187" s="125" t="n">
        <x:f>'기존안 과목내역'!J116</x:f>
        <x:v>4</x:v>
      </x:c>
      <x:c r="M187" s="133" t="n">
        <x:f>K187*L187</x:f>
        <x:v>12</x:v>
      </x:c>
      <x:c r="N187" s="125" t="n">
        <x:f>'기존안 과목내역'!I136</x:f>
        <x:v>3</x:v>
      </x:c>
      <x:c r="O187" s="125" t="n">
        <x:f>'기존안 과목내역'!J136</x:f>
        <x:v>4</x:v>
      </x:c>
      <x:c r="P187" s="133" t="n">
        <x:f>N187*O187</x:f>
        <x:v>12</x:v>
      </x:c>
      <x:c r="Q187" s="125"/>
      <x:c r="R187" s="125"/>
      <x:c r="S187" s="133"/>
      <x:c r="T187" s="125"/>
      <x:c r="U187" s="125"/>
      <x:c r="V187" s="136"/>
      <x:c r="W187" s="78"/>
      <x:c r="X187" s="78"/>
      <x:c r="Y187" s="78"/>
      <x:c r="Z187" s="78"/>
      <x:c r="AA187" s="78"/>
      <x:c r="AB187" s="78"/>
      <x:c r="AC187" s="78"/>
      <x:c r="AD187" s="78"/>
      <x:c r="AE187" s="78"/>
    </x:row>
    <x:row r="188" ht="24" customHeight="1">
      <x:c r="A188" s="78"/>
      <x:c r="B188" s="103"/>
      <x:c r="C188" s="104" t="str">
        <x:v>자체</x:v>
      </x:c>
      <x:c r="D188" s="81" t="str">
        <x:v>지구시스템과학</x:v>
      </x:c>
      <x:c r="E188" s="127"/>
      <x:c r="F188" s="128"/>
      <x:c r="G188" s="134"/>
      <x:c r="H188" s="128"/>
      <x:c r="I188" s="128"/>
      <x:c r="J188" s="134"/>
      <x:c r="K188" s="128"/>
      <x:c r="L188" s="128"/>
      <x:c r="M188" s="134"/>
      <x:c r="N188" s="128"/>
      <x:c r="O188" s="128"/>
      <x:c r="P188" s="134"/>
      <x:c r="Q188" s="128" t="n">
        <x:f>'기존안 과목내역'!I126</x:f>
        <x:v>3</x:v>
      </x:c>
      <x:c r="R188" s="128" t="n">
        <x:f>'선택군비교'!H25</x:f>
        <x:v>0</x:v>
      </x:c>
      <x:c r="S188" s="134" t="n">
        <x:f>Q188*R188</x:f>
        <x:v>0</x:v>
      </x:c>
      <x:c r="T188" s="128"/>
      <x:c r="U188" s="128"/>
      <x:c r="V188" s="137"/>
      <x:c r="W188" s="78"/>
      <x:c r="X188" s="78"/>
      <x:c r="Y188" s="78"/>
      <x:c r="Z188" s="78"/>
      <x:c r="AA188" s="78"/>
      <x:c r="AB188" s="78"/>
      <x:c r="AC188" s="78"/>
      <x:c r="AD188" s="78"/>
      <x:c r="AE188" s="78"/>
    </x:row>
    <x:row r="189" ht="24" customHeight="1">
      <x:c r="A189" s="78"/>
      <x:c r="B189" s="103"/>
      <x:c r="C189" s="104" t="str">
        <x:v>자체</x:v>
      </x:c>
      <x:c r="D189" s="81" t="str">
        <x:v>행성우주과학</x:v>
      </x:c>
      <x:c r="E189" s="127"/>
      <x:c r="F189" s="128"/>
      <x:c r="G189" s="134"/>
      <x:c r="H189" s="128"/>
      <x:c r="I189" s="128"/>
      <x:c r="J189" s="134"/>
      <x:c r="K189" s="128"/>
      <x:c r="L189" s="128"/>
      <x:c r="M189" s="134"/>
      <x:c r="N189" s="128" t="n">
        <x:f>'기존안 과목내역'!I139</x:f>
        <x:v>3</x:v>
      </x:c>
      <x:c r="O189" s="128" t="n">
        <x:f>'기존안 과목내역'!J139</x:f>
        <x:v>1</x:v>
      </x:c>
      <x:c r="P189" s="134" t="n">
        <x:f>N189*O189</x:f>
        <x:v>3</x:v>
      </x:c>
      <x:c r="Q189" s="128"/>
      <x:c r="R189" s="128"/>
      <x:c r="S189" s="134"/>
      <x:c r="T189" s="128"/>
      <x:c r="U189" s="128"/>
      <x:c r="V189" s="137"/>
      <x:c r="W189" s="78"/>
      <x:c r="X189" s="78"/>
      <x:c r="Y189" s="78"/>
      <x:c r="Z189" s="78"/>
      <x:c r="AA189" s="78"/>
      <x:c r="AB189" s="78"/>
      <x:c r="AC189" s="78"/>
      <x:c r="AD189" s="78"/>
      <x:c r="AE189" s="78"/>
    </x:row>
    <x:row r="190" ht="24" customHeight="1">
      <x:c r="A190" s="78"/>
      <x:c r="B190" s="103"/>
      <x:c r="C190" s="105" t="str">
        <x:v>통합</x:v>
      </x:c>
      <x:c r="D190" s="101" t="str">
        <x:v>통합과학1</x:v>
      </x:c>
      <x:c r="E190" s="127" t="n">
        <x:f>'기존안 과목내역'!I108</x:f>
        <x:v>4</x:v>
      </x:c>
      <x:c r="F190" s="128" t="n">
        <x:f>'공통융합 배정'!O57</x:f>
        <x:v>7</x:v>
      </x:c>
      <x:c r="G190" s="134" t="n">
        <x:f>'공통융합 배정'!P57</x:f>
        <x:v>28</x:v>
      </x:c>
      <x:c r="H190" s="128"/>
      <x:c r="I190" s="128"/>
      <x:c r="J190" s="134"/>
      <x:c r="K190" s="128"/>
      <x:c r="L190" s="128"/>
      <x:c r="M190" s="134"/>
      <x:c r="N190" s="128"/>
      <x:c r="O190" s="128"/>
      <x:c r="P190" s="134"/>
      <x:c r="Q190" s="128"/>
      <x:c r="R190" s="128"/>
      <x:c r="S190" s="134"/>
      <x:c r="T190" s="128"/>
      <x:c r="U190" s="128"/>
      <x:c r="V190" s="137"/>
      <x:c r="W190" s="78"/>
      <x:c r="X190" s="78"/>
      <x:c r="Y190" s="78"/>
      <x:c r="Z190" s="78"/>
      <x:c r="AA190" s="78"/>
      <x:c r="AB190" s="78"/>
      <x:c r="AC190" s="78"/>
      <x:c r="AD190" s="78"/>
      <x:c r="AE190" s="78"/>
    </x:row>
    <x:row r="191" ht="24" customHeight="1">
      <x:c r="A191" s="78"/>
      <x:c r="B191" s="103"/>
      <x:c r="C191" s="105" t="str">
        <x:v>실험</x:v>
      </x:c>
      <x:c r="D191" s="101" t="str">
        <x:v>과학탐구실험1</x:v>
      </x:c>
      <x:c r="E191" s="127" t="n">
        <x:f>'기존안 과목내역'!I109</x:f>
        <x:v>1</x:v>
      </x:c>
      <x:c r="F191" s="128" t="n">
        <x:f>'공통융합 배정'!O58</x:f>
        <x:v>3</x:v>
      </x:c>
      <x:c r="G191" s="134" t="n">
        <x:f>'공통융합 배정'!P58</x:f>
        <x:v>3</x:v>
      </x:c>
      <x:c r="H191" s="128"/>
      <x:c r="I191" s="128"/>
      <x:c r="J191" s="134"/>
      <x:c r="K191" s="128"/>
      <x:c r="L191" s="128"/>
      <x:c r="M191" s="134"/>
      <x:c r="N191" s="128"/>
      <x:c r="O191" s="128"/>
      <x:c r="P191" s="134"/>
      <x:c r="Q191" s="128"/>
      <x:c r="R191" s="128"/>
      <x:c r="S191" s="134"/>
      <x:c r="T191" s="128"/>
      <x:c r="U191" s="128"/>
      <x:c r="V191" s="137"/>
      <x:c r="W191" s="78"/>
      <x:c r="X191" s="78"/>
      <x:c r="Y191" s="78"/>
      <x:c r="Z191" s="78"/>
      <x:c r="AA191" s="78"/>
      <x:c r="AB191" s="78"/>
      <x:c r="AC191" s="78"/>
      <x:c r="AD191" s="78"/>
      <x:c r="AE191" s="78"/>
    </x:row>
    <x:row r="192" ht="24" customHeight="1">
      <x:c r="A192" s="78"/>
      <x:c r="B192" s="103"/>
      <x:c r="C192" s="105" t="str">
        <x:v>통합</x:v>
      </x:c>
      <x:c r="D192" s="101" t="str">
        <x:v>통합과학2</x:v>
      </x:c>
      <x:c r="E192" s="127"/>
      <x:c r="F192" s="128"/>
      <x:c r="G192" s="134"/>
      <x:c r="H192" s="128" t="n">
        <x:f>'기존안 과목내역'!I129</x:f>
        <x:v>4</x:v>
      </x:c>
      <x:c r="I192" s="128" t="n">
        <x:f>'공통융합 배정'!O59</x:f>
        <x:v>2</x:v>
      </x:c>
      <x:c r="J192" s="134" t="n">
        <x:f>'공통융합 배정'!P59</x:f>
        <x:v>8</x:v>
      </x:c>
      <x:c r="K192" s="128"/>
      <x:c r="L192" s="128"/>
      <x:c r="M192" s="134"/>
      <x:c r="N192" s="128"/>
      <x:c r="O192" s="128"/>
      <x:c r="P192" s="134"/>
      <x:c r="Q192" s="128"/>
      <x:c r="R192" s="128"/>
      <x:c r="S192" s="134"/>
      <x:c r="T192" s="128"/>
      <x:c r="U192" s="128"/>
      <x:c r="V192" s="137"/>
      <x:c r="W192" s="78"/>
      <x:c r="X192" s="78"/>
      <x:c r="Y192" s="78"/>
      <x:c r="Z192" s="78"/>
      <x:c r="AA192" s="78"/>
      <x:c r="AB192" s="78"/>
      <x:c r="AC192" s="78"/>
      <x:c r="AD192" s="78"/>
      <x:c r="AE192" s="78"/>
    </x:row>
    <x:row r="193" ht="24" customHeight="1">
      <x:c r="A193" s="78"/>
      <x:c r="B193" s="103"/>
      <x:c r="C193" s="105" t="str">
        <x:v>실험</x:v>
      </x:c>
      <x:c r="D193" s="101" t="str">
        <x:v>과학탐구실험2</x:v>
      </x:c>
      <x:c r="E193" s="127"/>
      <x:c r="F193" s="128"/>
      <x:c r="G193" s="134"/>
      <x:c r="H193" s="128" t="n">
        <x:f>'기존안 과목내역'!I130</x:f>
        <x:v>1</x:v>
      </x:c>
      <x:c r="I193" s="128" t="n">
        <x:f>'공통융합 배정'!O60</x:f>
        <x:v>4</x:v>
      </x:c>
      <x:c r="J193" s="134" t="n">
        <x:f>'공통융합 배정'!P60</x:f>
        <x:v>4</x:v>
      </x:c>
      <x:c r="K193" s="128"/>
      <x:c r="L193" s="128"/>
      <x:c r="M193" s="134"/>
      <x:c r="N193" s="128"/>
      <x:c r="O193" s="128"/>
      <x:c r="P193" s="134"/>
      <x:c r="Q193" s="128"/>
      <x:c r="R193" s="128"/>
      <x:c r="S193" s="134"/>
      <x:c r="T193" s="128"/>
      <x:c r="U193" s="128"/>
      <x:c r="V193" s="137"/>
      <x:c r="W193" s="78"/>
      <x:c r="X193" s="78"/>
      <x:c r="Y193" s="78"/>
      <x:c r="Z193" s="78"/>
      <x:c r="AA193" s="78"/>
      <x:c r="AB193" s="78"/>
      <x:c r="AC193" s="78"/>
      <x:c r="AD193" s="78"/>
      <x:c r="AE193" s="78"/>
    </x:row>
    <x:row r="194" ht="24" customHeight="1">
      <x:c r="A194" s="78"/>
      <x:c r="B194" s="103"/>
      <x:c r="C194" s="105" t="str">
        <x:v>융합</x:v>
      </x:c>
      <x:c r="D194" s="101" t="str">
        <x:v>과학의 역사와 문화</x:v>
      </x:c>
      <x:c r="E194" s="127"/>
      <x:c r="F194" s="128"/>
      <x:c r="G194" s="134"/>
      <x:c r="H194" s="128"/>
      <x:c r="I194" s="128"/>
      <x:c r="J194" s="134"/>
      <x:c r="K194" s="128"/>
      <x:c r="L194" s="128"/>
      <x:c r="M194" s="134"/>
      <x:c r="N194" s="128"/>
      <x:c r="O194" s="128"/>
      <x:c r="P194" s="134"/>
      <x:c r="Q194" s="128"/>
      <x:c r="R194" s="128"/>
      <x:c r="S194" s="134"/>
      <x:c r="T194" s="128" t="n">
        <x:f>'기존안 과목내역'!I144</x:f>
        <x:v>3</x:v>
      </x:c>
      <x:c r="U194" s="128" t="n">
        <x:f>'공통융합 배정'!O61</x:f>
        <x:v>2</x:v>
      </x:c>
      <x:c r="V194" s="137" t="n">
        <x:f>'공통융합 배정'!P61</x:f>
        <x:v>6</x:v>
      </x:c>
      <x:c r="W194" s="78"/>
      <x:c r="X194" s="78"/>
      <x:c r="Y194" s="78"/>
      <x:c r="Z194" s="78"/>
      <x:c r="AA194" s="78"/>
      <x:c r="AB194" s="78"/>
      <x:c r="AC194" s="78"/>
      <x:c r="AD194" s="78"/>
      <x:c r="AE194" s="78"/>
    </x:row>
    <x:row r="195" ht="24" customHeight="1">
      <x:c r="A195" s="78"/>
      <x:c r="B195" s="103"/>
      <x:c r="C195" s="105" t="str">
        <x:v>융합</x:v>
      </x:c>
      <x:c r="D195" s="101" t="str">
        <x:v>기후변화와 환경생태</x:v>
      </x:c>
      <x:c r="E195" s="127"/>
      <x:c r="F195" s="128"/>
      <x:c r="G195" s="134"/>
      <x:c r="H195" s="128"/>
      <x:c r="I195" s="128"/>
      <x:c r="J195" s="134"/>
      <x:c r="K195" s="128"/>
      <x:c r="L195" s="128"/>
      <x:c r="M195" s="134"/>
      <x:c r="N195" s="128"/>
      <x:c r="O195" s="128"/>
      <x:c r="P195" s="134"/>
      <x:c r="Q195" s="128"/>
      <x:c r="R195" s="128"/>
      <x:c r="S195" s="134"/>
      <x:c r="T195" s="128" t="n">
        <x:f>'기존안 과목내역'!I145</x:f>
        <x:v>3</x:v>
      </x:c>
      <x:c r="U195" s="128" t="n">
        <x:f>'공통융합 배정'!O62</x:f>
        <x:v>5</x:v>
      </x:c>
      <x:c r="V195" s="137" t="n">
        <x:f>'공통융합 배정'!P62</x:f>
        <x:v>15</x:v>
      </x:c>
      <x:c r="W195" s="78"/>
      <x:c r="X195" s="78"/>
      <x:c r="Y195" s="78"/>
      <x:c r="Z195" s="78"/>
      <x:c r="AA195" s="78"/>
      <x:c r="AB195" s="78"/>
      <x:c r="AC195" s="78"/>
      <x:c r="AD195" s="78"/>
      <x:c r="AE195" s="78"/>
    </x:row>
    <x:row r="196" ht="24" customHeight="1">
      <x:c r="A196" s="78"/>
      <x:c r="B196" s="103"/>
      <x:c r="C196" s="105" t="str">
        <x:v>융합</x:v>
      </x:c>
      <x:c r="D196" s="101" t="str">
        <x:v>융합과학 탐구</x:v>
      </x:c>
      <x:c r="E196" s="130"/>
      <x:c r="F196" s="131"/>
      <x:c r="G196" s="135"/>
      <x:c r="H196" s="131"/>
      <x:c r="I196" s="131"/>
      <x:c r="J196" s="135"/>
      <x:c r="K196" s="131"/>
      <x:c r="L196" s="131"/>
      <x:c r="M196" s="135"/>
      <x:c r="N196" s="131"/>
      <x:c r="O196" s="131"/>
      <x:c r="P196" s="135"/>
      <x:c r="Q196" s="131"/>
      <x:c r="R196" s="131"/>
      <x:c r="S196" s="135"/>
      <x:c r="T196" s="131" t="n">
        <x:f>'기존안 과목내역'!I146</x:f>
        <x:v>3</x:v>
      </x:c>
      <x:c r="U196" s="131" t="n">
        <x:f>'공통융합 배정'!O63</x:f>
        <x:v>2</x:v>
      </x:c>
      <x:c r="V196" s="138" t="n">
        <x:f>'공통융합 배정'!P63</x:f>
        <x:v>6</x:v>
      </x:c>
      <x:c r="W196" s="78"/>
      <x:c r="X196" s="78"/>
      <x:c r="Y196" s="78"/>
      <x:c r="Z196" s="78"/>
      <x:c r="AA196" s="78"/>
      <x:c r="AB196" s="78"/>
      <x:c r="AC196" s="78"/>
      <x:c r="AD196" s="78"/>
      <x:c r="AE196" s="78"/>
    </x:row>
    <x:row r="197" ht="30" customHeight="1">
      <x:c r="A197" s="78"/>
      <x:c r="B197" s="145" t="str">
        <x:v>사회 전체</x:v>
      </x:c>
      <x:c r="C197" s="145"/>
      <x:c r="D197" s="145"/>
      <x:c r="E197" s="145"/>
      <x:c r="F197" s="145"/>
      <x:c r="G197" s="145" t="n">
        <x:f>SUM(G110,G121,G133,G143)</x:f>
        <x:v>84</x:v>
      </x:c>
      <x:c r="H197" s="145"/>
      <x:c r="I197" s="145"/>
      <x:c r="J197" s="145" t="n">
        <x:f>SUM(J110,J121,J133,J143)</x:f>
        <x:v>84</x:v>
      </x:c>
      <x:c r="K197" s="145"/>
      <x:c r="L197" s="145"/>
      <x:c r="M197" s="145" t="n">
        <x:f>SUM(M110,M121,M133,M143)</x:f>
        <x:v>54</x:v>
      </x:c>
      <x:c r="N197" s="145"/>
      <x:c r="O197" s="145"/>
      <x:c r="P197" s="145" t="n">
        <x:f>SUM(P110,P121,P133,P143)</x:f>
        <x:v>54</x:v>
      </x:c>
      <x:c r="Q197" s="145"/>
      <x:c r="R197" s="145"/>
      <x:c r="S197" s="145" t="n">
        <x:f>SUM(S110,S121,S133,S143)</x:f>
        <x:v>75</x:v>
      </x:c>
      <x:c r="T197" s="145"/>
      <x:c r="U197" s="145"/>
      <x:c r="V197" s="145" t="n">
        <x:f>SUM(V110,V121,V133,V143)</x:f>
        <x:v>60</x:v>
      </x:c>
      <x:c r="W197" s="145" t="n">
        <x:f>IF(OR(COUNT(W110,W121,W133,W143)&lt;&gt;4,MIN(W110,W121,W133,W143)&lt;=0),"미정",SUM(W110,W121,W133,W143))</x:f>
        <x:v>12</x:v>
      </x:c>
      <x:c r="X197" s="145" t="n">
        <x:f>SUM(X110,X121,X133,X143)</x:f>
        <x:v>150</x:v>
      </x:c>
      <x:c r="Y197" s="145" t="n">
        <x:f>SUM(Y110,Y121,Y133,Y143)</x:f>
        <x:v>63</x:v>
      </x:c>
      <x:c r="Z197" s="145" t="n">
        <x:f>SUM(Z110,Z121,Z133,Z143)</x:f>
        <x:v>213</x:v>
      </x:c>
      <x:c r="AA197" s="146" t="n">
        <x:f>IF(OR(NOT(ISNUMBER(W197)),W197&lt;=0),"미정",Z197/W197)</x:f>
        <x:v>17.75</x:v>
      </x:c>
      <x:c r="AB197" s="145" t="n">
        <x:f>SUM(AB110,AB121,AB133,AB143)</x:f>
        <x:v>90</x:v>
      </x:c>
      <x:c r="AC197" s="145" t="n">
        <x:f>SUM(AC110,AC121,AC133,AC143)</x:f>
        <x:v>108</x:v>
      </x:c>
      <x:c r="AD197" s="145" t="n">
        <x:f>SUM(AD110,AD121,AD133,AD143)</x:f>
        <x:v>198</x:v>
      </x:c>
      <x:c r="AE197" s="146" t="n">
        <x:f>IF(OR(NOT(ISNUMBER(W197)),W197&lt;=0),"미정",AD197/W197)</x:f>
        <x:v>16.5</x:v>
      </x:c>
    </x:row>
    <x:row r="198" ht="30" customHeight="1">
      <x:c r="A198" s="78"/>
      <x:c r="B198" s="145" t="str">
        <x:v>과학 전체</x:v>
      </x:c>
      <x:c r="C198" s="145"/>
      <x:c r="D198" s="145"/>
      <x:c r="E198" s="145"/>
      <x:c r="F198" s="145"/>
      <x:c r="G198" s="145" t="n">
        <x:f>SUM(G153,G164,G175,G186)</x:f>
        <x:v>60</x:v>
      </x:c>
      <x:c r="H198" s="145"/>
      <x:c r="I198" s="145"/>
      <x:c r="J198" s="145" t="n">
        <x:f>SUM(J153,J164,J175,J186)</x:f>
        <x:v>60</x:v>
      </x:c>
      <x:c r="K198" s="145"/>
      <x:c r="L198" s="145"/>
      <x:c r="M198" s="145" t="n">
        <x:f>SUM(M153,M164,M175,M186)</x:f>
        <x:v>54</x:v>
      </x:c>
      <x:c r="N198" s="145"/>
      <x:c r="O198" s="145"/>
      <x:c r="P198" s="145" t="n">
        <x:f>SUM(P153,P164,P175,P186)</x:f>
        <x:v>54</x:v>
      </x:c>
      <x:c r="Q198" s="145"/>
      <x:c r="R198" s="145"/>
      <x:c r="S198" s="145" t="n">
        <x:f>SUM(S153,S164,S175,S186)</x:f>
        <x:v>45</x:v>
      </x:c>
      <x:c r="T198" s="145"/>
      <x:c r="U198" s="145"/>
      <x:c r="V198" s="145" t="n">
        <x:f>SUM(V153,V164,V175,V186)</x:f>
        <x:v>84</x:v>
      </x:c>
      <x:c r="W198" s="145" t="n">
        <x:f>IF(OR(COUNT(W153,W164,W175,W186)&lt;&gt;4,MIN(W153,W164,W175,W186)&lt;=0),"미정",SUM(W153,W164,W175,W186))</x:f>
        <x:v>11</x:v>
      </x:c>
      <x:c r="X198" s="145" t="n">
        <x:f>SUM(X153,X164,X175,X186)</x:f>
        <x:v>99</x:v>
      </x:c>
      <x:c r="Y198" s="145" t="n">
        <x:f>SUM(Y153,Y164,Y175,Y186)</x:f>
        <x:v>60</x:v>
      </x:c>
      <x:c r="Z198" s="145" t="n">
        <x:f>SUM(Z153,Z164,Z175,Z186)</x:f>
        <x:v>159</x:v>
      </x:c>
      <x:c r="AA198" s="146" t="n">
        <x:f>IF(OR(NOT(ISNUMBER(W198)),W198&lt;=0),"미정",Z198/W198)</x:f>
        <x:v>14.454545454545455</x:v>
      </x:c>
      <x:c r="AB198" s="145" t="n">
        <x:f>SUM(AB153,AB164,AB175,AB186)</x:f>
        <x:v>54</x:v>
      </x:c>
      <x:c r="AC198" s="145" t="n">
        <x:f>SUM(AC153,AC164,AC175,AC186)</x:f>
        <x:v>144</x:v>
      </x:c>
      <x:c r="AD198" s="145" t="n">
        <x:f>SUM(AD153,AD164,AD175,AD186)</x:f>
        <x:v>198</x:v>
      </x:c>
      <x:c r="AE198" s="146" t="n">
        <x:f>IF(OR(NOT(ISNUMBER(W198)),W198&lt;=0),"미정",AD198/W198)</x:f>
        <x:v>18</x:v>
      </x:c>
    </x:row>
    <x:row r="199" ht="24" customHeight="1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  <x:c r="AA199" s="78"/>
      <x:c r="AB199" s="78"/>
      <x:c r="AC199" s="78"/>
      <x:c r="AD199" s="78"/>
      <x:c r="AE199" s="78"/>
    </x:row>
    <x:row r="200" ht="24" customHeight="1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  <x:c r="AA200" s="78"/>
      <x:c r="AB200" s="78"/>
      <x:c r="AC200" s="78"/>
      <x:c r="AD200" s="78"/>
      <x:c r="AE200" s="78"/>
    </x:row>
    <x:row r="201" ht="24" customHeight="1">
      <x:c r="A201" s="78"/>
      <x:c r="B201" s="80" t="str">
        <x:v>자체 시수에는 통합·실험·융합과목을 넣지 않았습니다. 해당 과목은 배정 시수로만 합산하여 중복을 없앴습니다.</x:v>
      </x:c>
      <x:c r="C201" s="78"/>
      <x:c r="D201" s="78"/>
      <x:c r="E201" s="78"/>
      <x:c r="F201" s="78"/>
      <x:c r="G201" s="78"/>
      <x:c r="H201" s="78"/>
      <x:c r="I201" s="78"/>
      <x:c r="J201" s="78"/>
      <x:c r="K201" s="78"/>
      <x:c r="L201" s="78"/>
      <x:c r="M201" s="78"/>
      <x:c r="N201" s="78"/>
      <x:c r="O201" s="78"/>
      <x:c r="P201" s="78"/>
      <x:c r="Q201" s="78"/>
      <x:c r="R201" s="78"/>
      <x:c r="S201" s="78"/>
      <x:c r="T201" s="78"/>
      <x:c r="U201" s="78"/>
      <x:c r="V201" s="78"/>
      <x:c r="W201" s="78"/>
      <x:c r="X201" s="78"/>
      <x:c r="Y201" s="78"/>
      <x:c r="Z201" s="78"/>
      <x:c r="AA201" s="78"/>
      <x:c r="AB201" s="78"/>
      <x:c r="AC201" s="78"/>
      <x:c r="AD201" s="78"/>
      <x:c r="AE201" s="78"/>
    </x:row>
    <x:row r="202" ht="24" customHeight="1">
      <x:c r="A202" s="78"/>
      <x:c r="B202" s="80" t="str">
        <x:v>교사 수는 산정근거, 배정 반 수는 공통융합 배정 시트에서 수정합니다. 평균은 총시수 ÷ 교사 수로 계산합니다.</x:v>
      </x:c>
      <x:c r="C202" s="78"/>
      <x:c r="D202" s="78"/>
      <x:c r="E202" s="78"/>
      <x:c r="F202" s="78"/>
      <x:c r="G202" s="78"/>
      <x:c r="H202" s="78"/>
      <x:c r="I202" s="78"/>
      <x:c r="J202" s="78"/>
      <x:c r="K202" s="78"/>
      <x:c r="L202" s="78"/>
      <x:c r="M202" s="78"/>
      <x:c r="N202" s="78"/>
      <x:c r="O202" s="78"/>
      <x:c r="P202" s="78"/>
      <x:c r="Q202" s="78"/>
      <x:c r="R202" s="78"/>
      <x:c r="S202" s="78"/>
      <x:c r="T202" s="78"/>
      <x:c r="U202" s="78"/>
      <x:c r="V202" s="78"/>
      <x:c r="W202" s="78"/>
      <x:c r="X202" s="78"/>
      <x:c r="Y202" s="78"/>
      <x:c r="Z202" s="78"/>
      <x:c r="AA202" s="78"/>
      <x:c r="AB202" s="78"/>
      <x:c r="AC202" s="78"/>
      <x:c r="AD202" s="78"/>
      <x:c r="AE202" s="78"/>
    </x:row>
    <x:row r="203" ht="24" customHeight="1">
      <x:c r="A203" s="78"/>
      <x:c r="B203" s="78"/>
      <x:c r="C203" s="78"/>
      <x:c r="D203" s="78"/>
      <x:c r="E203" s="78"/>
      <x:c r="F203" s="78"/>
      <x:c r="G203" s="78"/>
      <x:c r="H203" s="78"/>
      <x:c r="I203" s="78"/>
      <x:c r="J203" s="78"/>
      <x:c r="K203" s="78"/>
      <x:c r="L203" s="78"/>
      <x:c r="M203" s="78"/>
      <x:c r="N203" s="78"/>
      <x:c r="O203" s="78"/>
      <x:c r="P203" s="78"/>
      <x:c r="Q203" s="78"/>
      <x:c r="R203" s="78"/>
      <x:c r="S203" s="78"/>
      <x:c r="T203" s="78"/>
      <x:c r="U203" s="78"/>
      <x:c r="V203" s="78"/>
      <x:c r="W203" s="78"/>
      <x:c r="X203" s="78"/>
      <x:c r="Y203" s="78"/>
      <x:c r="Z203" s="78"/>
      <x:c r="AA203" s="78"/>
      <x:c r="AB203" s="78"/>
      <x:c r="AC203" s="78"/>
      <x:c r="AD203" s="78"/>
      <x:c r="AE203" s="78"/>
    </x:row>
    <x:row r="204" ht="24" customHeight="1">
      <x:c r="A204" s="78"/>
      <x:c r="B204" s="78"/>
      <x:c r="C204" s="78"/>
      <x:c r="D204" s="78"/>
      <x:c r="E204" s="78"/>
      <x:c r="F204" s="78"/>
      <x:c r="G204" s="78"/>
      <x:c r="H204" s="78"/>
      <x:c r="I204" s="78"/>
      <x:c r="J204" s="78"/>
      <x:c r="K204" s="78"/>
      <x:c r="L204" s="78"/>
      <x:c r="M204" s="78"/>
      <x:c r="N204" s="78"/>
      <x:c r="O204" s="78"/>
      <x:c r="P204" s="78"/>
      <x:c r="Q204" s="78"/>
      <x:c r="R204" s="78"/>
      <x:c r="S204" s="78"/>
      <x:c r="T204" s="78"/>
      <x:c r="U204" s="78"/>
      <x:c r="V204" s="78"/>
      <x:c r="W204" s="78"/>
      <x:c r="X204" s="78"/>
      <x:c r="Y204" s="78"/>
      <x:c r="Z204" s="78"/>
      <x:c r="AA204" s="78"/>
      <x:c r="AB204" s="78"/>
      <x:c r="AC204" s="78"/>
      <x:c r="AD204" s="78"/>
      <x:c r="AE204" s="78"/>
    </x:row>
    <x:row r="205" ht="24" customHeight="1">
      <x:c r="A205" s="78"/>
      <x:c r="B205" s="78"/>
      <x:c r="C205" s="78"/>
      <x:c r="D205" s="78"/>
      <x:c r="E205" s="78"/>
      <x:c r="F205" s="78"/>
      <x:c r="G205" s="78"/>
      <x:c r="H205" s="78"/>
      <x:c r="I205" s="78"/>
      <x:c r="J205" s="78"/>
      <x:c r="K205" s="78"/>
      <x:c r="L205" s="78"/>
      <x:c r="M205" s="78"/>
      <x:c r="N205" s="78"/>
      <x:c r="O205" s="78"/>
      <x:c r="P205" s="78"/>
      <x:c r="Q205" s="78"/>
      <x:c r="R205" s="78"/>
      <x:c r="S205" s="78"/>
      <x:c r="T205" s="78"/>
      <x:c r="U205" s="78"/>
      <x:c r="V205" s="78"/>
      <x:c r="W205" s="78"/>
      <x:c r="X205" s="78"/>
      <x:c r="Y205" s="78"/>
      <x:c r="Z205" s="78"/>
      <x:c r="AA205" s="78"/>
      <x:c r="AB205" s="78"/>
      <x:c r="AC205" s="78"/>
      <x:c r="AD205" s="78"/>
      <x:c r="AE205" s="78"/>
    </x:row>
    <x:row r="206" ht="24" customHeight="1">
      <x:c r="A206" s="78"/>
      <x:c r="B206" s="78"/>
      <x:c r="C206" s="78"/>
      <x:c r="D206" s="78"/>
      <x:c r="E206" s="78"/>
      <x:c r="F206" s="78"/>
      <x:c r="G206" s="78"/>
      <x:c r="H206" s="78"/>
      <x:c r="I206" s="78"/>
      <x:c r="J206" s="78"/>
      <x:c r="K206" s="78"/>
      <x:c r="L206" s="78"/>
      <x:c r="M206" s="78"/>
      <x:c r="N206" s="78"/>
      <x:c r="O206" s="78"/>
      <x:c r="P206" s="78"/>
      <x:c r="Q206" s="78"/>
      <x:c r="R206" s="78"/>
      <x:c r="S206" s="78"/>
      <x:c r="T206" s="78"/>
      <x:c r="U206" s="78"/>
      <x:c r="V206" s="78"/>
      <x:c r="W206" s="78"/>
      <x:c r="X206" s="78"/>
      <x:c r="Y206" s="78"/>
      <x:c r="Z206" s="78"/>
      <x:c r="AA206" s="78"/>
      <x:c r="AB206" s="78"/>
      <x:c r="AC206" s="78"/>
      <x:c r="AD206" s="78"/>
      <x:c r="AE206" s="78"/>
    </x:row>
    <x:row r="207" ht="24" customHeight="1">
      <x:c r="A207" s="78"/>
      <x:c r="B207" s="78"/>
      <x:c r="C207" s="78"/>
      <x:c r="D207" s="78"/>
      <x:c r="E207" s="78"/>
      <x:c r="F207" s="78"/>
      <x:c r="G207" s="78"/>
      <x:c r="H207" s="78"/>
      <x:c r="I207" s="78"/>
      <x:c r="J207" s="78"/>
      <x:c r="K207" s="78"/>
      <x:c r="L207" s="78"/>
      <x:c r="M207" s="78"/>
      <x:c r="N207" s="78"/>
      <x:c r="O207" s="78"/>
      <x:c r="P207" s="78"/>
      <x:c r="Q207" s="78"/>
      <x:c r="R207" s="78"/>
      <x:c r="S207" s="78"/>
      <x:c r="T207" s="78"/>
      <x:c r="U207" s="78"/>
      <x:c r="V207" s="78"/>
      <x:c r="W207" s="78"/>
      <x:c r="X207" s="78"/>
      <x:c r="Y207" s="78"/>
      <x:c r="Z207" s="78"/>
      <x:c r="AA207" s="78"/>
      <x:c r="AB207" s="78"/>
      <x:c r="AC207" s="78"/>
      <x:c r="AD207" s="78"/>
      <x:c r="AE207" s="78"/>
    </x:row>
    <x:row r="208" ht="24" customHeight="1">
      <x:c r="A208" s="78"/>
      <x:c r="B208" s="78"/>
      <x:c r="C208" s="78"/>
      <x:c r="D208" s="78"/>
      <x:c r="E208" s="78"/>
      <x:c r="F208" s="78"/>
      <x:c r="G208" s="78"/>
      <x:c r="H208" s="78"/>
      <x:c r="I208" s="78"/>
      <x:c r="J208" s="78"/>
      <x:c r="K208" s="78"/>
      <x:c r="L208" s="78"/>
      <x:c r="M208" s="78"/>
      <x:c r="N208" s="78"/>
      <x:c r="O208" s="78"/>
      <x:c r="P208" s="78"/>
      <x:c r="Q208" s="78"/>
      <x:c r="R208" s="78"/>
      <x:c r="S208" s="78"/>
      <x:c r="T208" s="78"/>
      <x:c r="U208" s="78"/>
      <x:c r="V208" s="78"/>
      <x:c r="W208" s="78"/>
      <x:c r="X208" s="78"/>
      <x:c r="Y208" s="78"/>
      <x:c r="Z208" s="78"/>
      <x:c r="AA208" s="78"/>
      <x:c r="AB208" s="78"/>
      <x:c r="AC208" s="78"/>
      <x:c r="AD208" s="78"/>
      <x:c r="AE208" s="78"/>
    </x:row>
    <x:row r="209" ht="24" customHeight="1">
      <x:c r="A209" s="78"/>
      <x:c r="B209" s="78"/>
      <x:c r="C209" s="78"/>
      <x:c r="D209" s="78"/>
      <x:c r="E209" s="78"/>
      <x:c r="F209" s="78"/>
      <x:c r="G209" s="78"/>
      <x:c r="H209" s="78"/>
      <x:c r="I209" s="78"/>
      <x:c r="J209" s="78"/>
      <x:c r="K209" s="78"/>
      <x:c r="L209" s="78"/>
      <x:c r="M209" s="78"/>
      <x:c r="N209" s="78"/>
      <x:c r="O209" s="78"/>
      <x:c r="P209" s="78"/>
      <x:c r="Q209" s="78"/>
      <x:c r="R209" s="78"/>
      <x:c r="S209" s="78"/>
      <x:c r="T209" s="78"/>
      <x:c r="U209" s="78"/>
      <x:c r="V209" s="78"/>
      <x:c r="W209" s="78"/>
      <x:c r="X209" s="78"/>
      <x:c r="Y209" s="78"/>
      <x:c r="Z209" s="78"/>
      <x:c r="AA209" s="78"/>
      <x:c r="AB209" s="78"/>
      <x:c r="AC209" s="78"/>
      <x:c r="AD209" s="78"/>
      <x:c r="AE209" s="78"/>
    </x:row>
    <x:row r="210" ht="24" customHeight="1">
      <x:c r="A210" s="78"/>
      <x:c r="B210" s="78"/>
      <x:c r="C210" s="78"/>
      <x:c r="D210" s="78"/>
      <x:c r="E210" s="78"/>
      <x:c r="F210" s="78"/>
      <x:c r="G210" s="78"/>
      <x:c r="H210" s="78"/>
      <x:c r="I210" s="78"/>
      <x:c r="J210" s="78"/>
      <x:c r="K210" s="78"/>
      <x:c r="L210" s="78"/>
      <x:c r="M210" s="78"/>
      <x:c r="N210" s="78"/>
      <x:c r="O210" s="78"/>
      <x:c r="P210" s="78"/>
      <x:c r="Q210" s="78"/>
      <x:c r="R210" s="78"/>
      <x:c r="S210" s="78"/>
      <x:c r="T210" s="78"/>
      <x:c r="U210" s="78"/>
      <x:c r="V210" s="78"/>
      <x:c r="W210" s="78"/>
      <x:c r="X210" s="78"/>
      <x:c r="Y210" s="78"/>
      <x:c r="Z210" s="78"/>
      <x:c r="AA210" s="78"/>
      <x:c r="AB210" s="78"/>
      <x:c r="AC210" s="78"/>
      <x:c r="AD210" s="78"/>
      <x:c r="AE210" s="78"/>
    </x:row>
    <x:row r="211" ht="24" customHeight="1">
      <x:c r="A211" s="78"/>
      <x:c r="B211" s="78"/>
      <x:c r="C211" s="78"/>
      <x:c r="D211" s="78"/>
      <x:c r="E211" s="78"/>
      <x:c r="F211" s="78"/>
      <x:c r="G211" s="78"/>
      <x:c r="H211" s="78"/>
      <x:c r="I211" s="78"/>
      <x:c r="J211" s="78"/>
      <x:c r="K211" s="78"/>
      <x:c r="L211" s="78"/>
      <x:c r="M211" s="78"/>
      <x:c r="N211" s="78"/>
      <x:c r="O211" s="78"/>
      <x:c r="P211" s="78"/>
      <x:c r="Q211" s="78"/>
      <x:c r="R211" s="78"/>
      <x:c r="S211" s="78"/>
      <x:c r="T211" s="78"/>
      <x:c r="U211" s="78"/>
      <x:c r="V211" s="78"/>
      <x:c r="W211" s="78"/>
      <x:c r="X211" s="78"/>
      <x:c r="Y211" s="78"/>
      <x:c r="Z211" s="78"/>
      <x:c r="AA211" s="78"/>
      <x:c r="AB211" s="78"/>
      <x:c r="AC211" s="78"/>
      <x:c r="AD211" s="78"/>
      <x:c r="AE211" s="78"/>
    </x:row>
    <x:row r="212" ht="24" customHeight="1">
      <x:c r="A212" s="78"/>
      <x:c r="B212" s="78"/>
      <x:c r="C212" s="78"/>
      <x:c r="D212" s="78"/>
      <x:c r="E212" s="78"/>
      <x:c r="F212" s="78"/>
      <x:c r="G212" s="78"/>
      <x:c r="H212" s="78"/>
      <x:c r="I212" s="78"/>
      <x:c r="J212" s="78"/>
      <x:c r="K212" s="78"/>
      <x:c r="L212" s="78"/>
      <x:c r="M212" s="78"/>
      <x:c r="N212" s="78"/>
      <x:c r="O212" s="78"/>
      <x:c r="P212" s="78"/>
      <x:c r="Q212" s="78"/>
      <x:c r="R212" s="78"/>
      <x:c r="S212" s="78"/>
      <x:c r="T212" s="78"/>
      <x:c r="U212" s="78"/>
      <x:c r="V212" s="78"/>
      <x:c r="W212" s="78"/>
      <x:c r="X212" s="78"/>
      <x:c r="Y212" s="78"/>
      <x:c r="Z212" s="78"/>
      <x:c r="AA212" s="78"/>
      <x:c r="AB212" s="78"/>
      <x:c r="AC212" s="78"/>
      <x:c r="AD212" s="78"/>
      <x:c r="AE212" s="78"/>
    </x:row>
    <x:row r="213" ht="24" customHeight="1">
      <x:c r="A213" s="78"/>
      <x:c r="B213" s="78"/>
      <x:c r="C213" s="78"/>
      <x:c r="D213" s="78"/>
      <x:c r="E213" s="78"/>
      <x:c r="F213" s="78"/>
      <x:c r="G213" s="78"/>
      <x:c r="H213" s="78"/>
      <x:c r="I213" s="78"/>
      <x:c r="J213" s="78"/>
      <x:c r="K213" s="78"/>
      <x:c r="L213" s="78"/>
      <x:c r="M213" s="78"/>
      <x:c r="N213" s="78"/>
      <x:c r="O213" s="78"/>
      <x:c r="P213" s="78"/>
      <x:c r="Q213" s="78"/>
      <x:c r="R213" s="78"/>
      <x:c r="S213" s="78"/>
      <x:c r="T213" s="78"/>
      <x:c r="U213" s="78"/>
      <x:c r="V213" s="78"/>
      <x:c r="W213" s="78"/>
      <x:c r="X213" s="78"/>
      <x:c r="Y213" s="78"/>
      <x:c r="Z213" s="78"/>
      <x:c r="AA213" s="78"/>
      <x:c r="AB213" s="78"/>
      <x:c r="AC213" s="78"/>
      <x:c r="AD213" s="78"/>
      <x:c r="AE213" s="78"/>
    </x:row>
    <x:row r="214" ht="24" customHeight="1">
      <x:c r="A214" s="78"/>
      <x:c r="B214" s="78"/>
      <x:c r="C214" s="78"/>
      <x:c r="D214" s="78"/>
      <x:c r="E214" s="78"/>
      <x:c r="F214" s="78"/>
      <x:c r="G214" s="78"/>
      <x:c r="H214" s="78"/>
      <x:c r="I214" s="78"/>
      <x:c r="J214" s="78"/>
      <x:c r="K214" s="78"/>
      <x:c r="L214" s="78"/>
      <x:c r="M214" s="78"/>
      <x:c r="N214" s="78"/>
      <x:c r="O214" s="78"/>
      <x:c r="P214" s="78"/>
      <x:c r="Q214" s="78"/>
      <x:c r="R214" s="78"/>
      <x:c r="S214" s="78"/>
      <x:c r="T214" s="78"/>
      <x:c r="U214" s="78"/>
      <x:c r="V214" s="78"/>
      <x:c r="W214" s="78"/>
      <x:c r="X214" s="78"/>
      <x:c r="Y214" s="78"/>
      <x:c r="Z214" s="78"/>
      <x:c r="AA214" s="78"/>
      <x:c r="AB214" s="78"/>
      <x:c r="AC214" s="78"/>
      <x:c r="AD214" s="78"/>
      <x:c r="AE214" s="78"/>
    </x:row>
    <x:row r="215" ht="24" customHeight="1">
      <x:c r="A215" s="78"/>
      <x:c r="B215" s="78"/>
      <x:c r="C215" s="78"/>
      <x:c r="D215" s="78"/>
      <x:c r="E215" s="78"/>
      <x:c r="F215" s="78"/>
      <x:c r="G215" s="78"/>
      <x:c r="H215" s="78"/>
      <x:c r="I215" s="78"/>
      <x:c r="J215" s="78"/>
      <x:c r="K215" s="78"/>
      <x:c r="L215" s="78"/>
      <x:c r="M215" s="78"/>
      <x:c r="N215" s="78"/>
      <x:c r="O215" s="78"/>
      <x:c r="P215" s="78"/>
      <x:c r="Q215" s="78"/>
      <x:c r="R215" s="78"/>
      <x:c r="S215" s="78"/>
      <x:c r="T215" s="78"/>
      <x:c r="U215" s="78"/>
      <x:c r="V215" s="78"/>
      <x:c r="W215" s="78"/>
      <x:c r="X215" s="78"/>
      <x:c r="Y215" s="78"/>
      <x:c r="Z215" s="78"/>
      <x:c r="AA215" s="78"/>
      <x:c r="AB215" s="78"/>
      <x:c r="AC215" s="78"/>
      <x:c r="AD215" s="78"/>
      <x:c r="AE215" s="78"/>
    </x:row>
    <x:row r="216" ht="24" customHeight="1">
      <x:c r="A216" s="78"/>
      <x:c r="B216" s="78"/>
      <x:c r="C216" s="78"/>
      <x:c r="D216" s="78"/>
      <x:c r="E216" s="78"/>
      <x:c r="F216" s="78"/>
      <x:c r="G216" s="78"/>
      <x:c r="H216" s="78"/>
      <x:c r="I216" s="78"/>
      <x:c r="J216" s="78"/>
      <x:c r="K216" s="78"/>
      <x:c r="L216" s="78"/>
      <x:c r="M216" s="78"/>
      <x:c r="N216" s="78"/>
      <x:c r="O216" s="78"/>
      <x:c r="P216" s="78"/>
      <x:c r="Q216" s="78"/>
      <x:c r="R216" s="78"/>
      <x:c r="S216" s="78"/>
      <x:c r="T216" s="78"/>
      <x:c r="U216" s="78"/>
      <x:c r="V216" s="78"/>
      <x:c r="W216" s="78"/>
      <x:c r="X216" s="78"/>
      <x:c r="Y216" s="78"/>
      <x:c r="Z216" s="78"/>
      <x:c r="AA216" s="78"/>
      <x:c r="AB216" s="78"/>
      <x:c r="AC216" s="78"/>
      <x:c r="AD216" s="78"/>
      <x:c r="AE216" s="78"/>
    </x:row>
    <x:row r="217" ht="24" customHeight="1">
      <x:c r="A217" s="78"/>
      <x:c r="B217" s="78"/>
      <x:c r="C217" s="78"/>
      <x:c r="D217" s="78"/>
      <x:c r="E217" s="78"/>
      <x:c r="F217" s="78"/>
      <x:c r="G217" s="78"/>
      <x:c r="H217" s="78"/>
      <x:c r="I217" s="78"/>
      <x:c r="J217" s="78"/>
      <x:c r="K217" s="78"/>
      <x:c r="L217" s="78"/>
      <x:c r="M217" s="78"/>
      <x:c r="N217" s="78"/>
      <x:c r="O217" s="78"/>
      <x:c r="P217" s="78"/>
      <x:c r="Q217" s="78"/>
      <x:c r="R217" s="78"/>
      <x:c r="S217" s="78"/>
      <x:c r="T217" s="78"/>
      <x:c r="U217" s="78"/>
      <x:c r="V217" s="78"/>
      <x:c r="W217" s="78"/>
      <x:c r="X217" s="78"/>
      <x:c r="Y217" s="78"/>
      <x:c r="Z217" s="78"/>
      <x:c r="AA217" s="78"/>
      <x:c r="AB217" s="78"/>
      <x:c r="AC217" s="78"/>
      <x:c r="AD217" s="78"/>
      <x:c r="AE217" s="78"/>
    </x:row>
    <x:row r="218" ht="24" customHeight="1">
      <x:c r="A218" s="78"/>
      <x:c r="B218" s="78"/>
      <x:c r="C218" s="78"/>
      <x:c r="D218" s="78"/>
      <x:c r="E218" s="78"/>
      <x:c r="F218" s="78"/>
      <x:c r="G218" s="78"/>
      <x:c r="H218" s="78"/>
      <x:c r="I218" s="78"/>
      <x:c r="J218" s="78"/>
      <x:c r="K218" s="78"/>
      <x:c r="L218" s="78"/>
      <x:c r="M218" s="78"/>
      <x:c r="N218" s="78"/>
      <x:c r="O218" s="78"/>
      <x:c r="P218" s="78"/>
      <x:c r="Q218" s="78"/>
      <x:c r="R218" s="78"/>
      <x:c r="S218" s="78"/>
      <x:c r="T218" s="78"/>
      <x:c r="U218" s="78"/>
      <x:c r="V218" s="78"/>
      <x:c r="W218" s="78"/>
      <x:c r="X218" s="78"/>
      <x:c r="Y218" s="78"/>
      <x:c r="Z218" s="78"/>
      <x:c r="AA218" s="78"/>
      <x:c r="AB218" s="78"/>
      <x:c r="AC218" s="78"/>
      <x:c r="AD218" s="78"/>
      <x:c r="AE218" s="78"/>
    </x:row>
    <x:row r="219" ht="24" customHeight="1">
      <x:c r="A219" s="78"/>
      <x:c r="B219" s="78"/>
      <x:c r="C219" s="78"/>
      <x:c r="D219" s="78"/>
      <x:c r="E219" s="78"/>
      <x:c r="F219" s="78"/>
      <x:c r="G219" s="78"/>
      <x:c r="H219" s="78"/>
      <x:c r="I219" s="78"/>
      <x:c r="J219" s="78"/>
      <x:c r="K219" s="78"/>
      <x:c r="L219" s="78"/>
      <x:c r="M219" s="78"/>
      <x:c r="N219" s="78"/>
      <x:c r="O219" s="78"/>
      <x:c r="P219" s="78"/>
      <x:c r="Q219" s="78"/>
      <x:c r="R219" s="78"/>
      <x:c r="S219" s="78"/>
      <x:c r="T219" s="78"/>
      <x:c r="U219" s="78"/>
      <x:c r="V219" s="78"/>
      <x:c r="W219" s="78"/>
      <x:c r="X219" s="78"/>
      <x:c r="Y219" s="78"/>
      <x:c r="Z219" s="78"/>
      <x:c r="AA219" s="78"/>
      <x:c r="AB219" s="78"/>
      <x:c r="AC219" s="78"/>
      <x:c r="AD219" s="78"/>
      <x:c r="AE219" s="78"/>
    </x:row>
    <x:row r="220" ht="24" customHeight="1">
      <x:c r="A220" s="78"/>
      <x:c r="B220" s="78"/>
      <x:c r="C220" s="78"/>
      <x:c r="D220" s="78"/>
      <x:c r="E220" s="78"/>
      <x:c r="F220" s="78"/>
      <x:c r="G220" s="78"/>
      <x:c r="H220" s="78"/>
      <x:c r="I220" s="78"/>
      <x:c r="J220" s="78"/>
      <x:c r="K220" s="78"/>
      <x:c r="L220" s="78"/>
      <x:c r="M220" s="78"/>
      <x:c r="N220" s="78"/>
      <x:c r="O220" s="78"/>
      <x:c r="P220" s="78"/>
      <x:c r="Q220" s="78"/>
      <x:c r="R220" s="78"/>
      <x:c r="S220" s="78"/>
      <x:c r="T220" s="78"/>
      <x:c r="U220" s="78"/>
      <x:c r="V220" s="78"/>
      <x:c r="W220" s="78"/>
      <x:c r="X220" s="78"/>
      <x:c r="Y220" s="78"/>
      <x:c r="Z220" s="78"/>
      <x:c r="AA220" s="78"/>
      <x:c r="AB220" s="78"/>
      <x:c r="AC220" s="78"/>
      <x:c r="AD220" s="78"/>
      <x:c r="AE220" s="78"/>
    </x:row>
    <x:row r="221" ht="24" customHeight="1">
      <x:c r="A221" s="78"/>
      <x:c r="B221" s="78"/>
      <x:c r="C221" s="78"/>
      <x:c r="D221" s="78"/>
      <x:c r="E221" s="78"/>
      <x:c r="F221" s="78"/>
      <x:c r="G221" s="78"/>
      <x:c r="H221" s="78"/>
      <x:c r="I221" s="78"/>
      <x:c r="J221" s="78"/>
      <x:c r="K221" s="78"/>
      <x:c r="L221" s="78"/>
      <x:c r="M221" s="78"/>
      <x:c r="N221" s="78"/>
      <x:c r="O221" s="78"/>
      <x:c r="P221" s="78"/>
      <x:c r="Q221" s="78"/>
      <x:c r="R221" s="78"/>
      <x:c r="S221" s="78"/>
      <x:c r="T221" s="78"/>
      <x:c r="U221" s="78"/>
      <x:c r="V221" s="78"/>
      <x:c r="W221" s="78"/>
      <x:c r="X221" s="78"/>
      <x:c r="Y221" s="78"/>
      <x:c r="Z221" s="78"/>
      <x:c r="AA221" s="78"/>
      <x:c r="AB221" s="78"/>
      <x:c r="AC221" s="78"/>
      <x:c r="AD221" s="78"/>
      <x:c r="AE221" s="78"/>
    </x:row>
    <x:row r="222" ht="24" customHeight="1">
      <x:c r="A222" s="78"/>
      <x:c r="B222" s="78"/>
      <x:c r="C222" s="78"/>
      <x:c r="D222" s="78"/>
      <x:c r="E222" s="78"/>
      <x:c r="F222" s="78"/>
      <x:c r="G222" s="78"/>
      <x:c r="H222" s="78"/>
      <x:c r="I222" s="78"/>
      <x:c r="J222" s="78"/>
      <x:c r="K222" s="78"/>
      <x:c r="L222" s="78"/>
      <x:c r="M222" s="78"/>
      <x:c r="N222" s="78"/>
      <x:c r="O222" s="78"/>
      <x:c r="P222" s="78"/>
      <x:c r="Q222" s="78"/>
      <x:c r="R222" s="78"/>
      <x:c r="S222" s="78"/>
      <x:c r="T222" s="78"/>
      <x:c r="U222" s="78"/>
      <x:c r="V222" s="78"/>
      <x:c r="W222" s="78"/>
      <x:c r="X222" s="78"/>
      <x:c r="Y222" s="78"/>
      <x:c r="Z222" s="78"/>
      <x:c r="AA222" s="78"/>
      <x:c r="AB222" s="78"/>
      <x:c r="AC222" s="78"/>
      <x:c r="AD222" s="78"/>
      <x:c r="AE222" s="78"/>
    </x:row>
    <x:row r="223" ht="24" customHeight="1">
      <x:c r="A223" s="78"/>
      <x:c r="B223" s="78"/>
      <x:c r="C223" s="78"/>
      <x:c r="D223" s="78"/>
      <x:c r="E223" s="78"/>
      <x:c r="F223" s="78"/>
      <x:c r="G223" s="78"/>
      <x:c r="H223" s="78"/>
      <x:c r="I223" s="78"/>
      <x:c r="J223" s="78"/>
      <x:c r="K223" s="78"/>
      <x:c r="L223" s="78"/>
      <x:c r="M223" s="78"/>
      <x:c r="N223" s="78"/>
      <x:c r="O223" s="78"/>
      <x:c r="P223" s="78"/>
      <x:c r="Q223" s="78"/>
      <x:c r="R223" s="78"/>
      <x:c r="S223" s="78"/>
      <x:c r="T223" s="78"/>
      <x:c r="U223" s="78"/>
      <x:c r="V223" s="78"/>
      <x:c r="W223" s="78"/>
      <x:c r="X223" s="78"/>
      <x:c r="Y223" s="78"/>
      <x:c r="Z223" s="78"/>
      <x:c r="AA223" s="78"/>
      <x:c r="AB223" s="78"/>
      <x:c r="AC223" s="78"/>
      <x:c r="AD223" s="78"/>
      <x:c r="AE223" s="78"/>
    </x:row>
    <x:row r="224" ht="24" customHeight="1">
      <x:c r="A224" s="78"/>
      <x:c r="B224" s="78"/>
      <x:c r="C224" s="78"/>
      <x:c r="D224" s="78"/>
      <x:c r="E224" s="78"/>
      <x:c r="F224" s="78"/>
      <x:c r="G224" s="78"/>
      <x:c r="H224" s="78"/>
      <x:c r="I224" s="78"/>
      <x:c r="J224" s="78"/>
      <x:c r="K224" s="78"/>
      <x:c r="L224" s="78"/>
      <x:c r="M224" s="78"/>
      <x:c r="N224" s="78"/>
      <x:c r="O224" s="78"/>
      <x:c r="P224" s="78"/>
      <x:c r="Q224" s="78"/>
      <x:c r="R224" s="78"/>
      <x:c r="S224" s="78"/>
      <x:c r="T224" s="78"/>
      <x:c r="U224" s="78"/>
      <x:c r="V224" s="78"/>
      <x:c r="W224" s="78"/>
      <x:c r="X224" s="78"/>
      <x:c r="Y224" s="78"/>
      <x:c r="Z224" s="78"/>
      <x:c r="AA224" s="78"/>
      <x:c r="AB224" s="78"/>
      <x:c r="AC224" s="78"/>
      <x:c r="AD224" s="78"/>
      <x:c r="AE224" s="78"/>
    </x:row>
    <x:row r="225" ht="24" customHeight="1">
      <x:c r="A225" s="78"/>
      <x:c r="B225" s="78"/>
      <x:c r="C225" s="78"/>
      <x:c r="D225" s="78"/>
      <x:c r="E225" s="78"/>
      <x:c r="F225" s="78"/>
      <x:c r="G225" s="78"/>
      <x:c r="H225" s="78"/>
      <x:c r="I225" s="78"/>
      <x:c r="J225" s="78"/>
      <x:c r="K225" s="78"/>
      <x:c r="L225" s="78"/>
      <x:c r="M225" s="78"/>
      <x:c r="N225" s="78"/>
      <x:c r="O225" s="78"/>
      <x:c r="P225" s="78"/>
      <x:c r="Q225" s="78"/>
      <x:c r="R225" s="78"/>
      <x:c r="S225" s="78"/>
      <x:c r="T225" s="78"/>
      <x:c r="U225" s="78"/>
      <x:c r="V225" s="78"/>
      <x:c r="W225" s="78"/>
      <x:c r="X225" s="78"/>
      <x:c r="Y225" s="78"/>
      <x:c r="Z225" s="78"/>
      <x:c r="AA225" s="78"/>
      <x:c r="AB225" s="78"/>
      <x:c r="AC225" s="78"/>
      <x:c r="AD225" s="78"/>
      <x:c r="AE225" s="78"/>
    </x:row>
    <x:row r="226" ht="24" customHeight="1">
      <x:c r="A226" s="78"/>
      <x:c r="B226" s="78"/>
      <x:c r="C226" s="78"/>
      <x:c r="D226" s="78"/>
      <x:c r="E226" s="78"/>
      <x:c r="F226" s="78"/>
      <x:c r="G226" s="78"/>
      <x:c r="H226" s="78"/>
      <x:c r="I226" s="78"/>
      <x:c r="J226" s="78"/>
      <x:c r="K226" s="78"/>
      <x:c r="L226" s="78"/>
      <x:c r="M226" s="78"/>
      <x:c r="N226" s="78"/>
      <x:c r="O226" s="78"/>
      <x:c r="P226" s="78"/>
      <x:c r="Q226" s="78"/>
      <x:c r="R226" s="78"/>
      <x:c r="S226" s="78"/>
      <x:c r="T226" s="78"/>
      <x:c r="U226" s="78"/>
      <x:c r="V226" s="78"/>
      <x:c r="W226" s="78"/>
      <x:c r="X226" s="78"/>
      <x:c r="Y226" s="78"/>
      <x:c r="Z226" s="78"/>
      <x:c r="AA226" s="78"/>
      <x:c r="AB226" s="78"/>
      <x:c r="AC226" s="78"/>
      <x:c r="AD226" s="78"/>
      <x:c r="AE226" s="78"/>
    </x:row>
    <x:row r="227" ht="24" customHeight="1">
      <x:c r="A227" s="78"/>
      <x:c r="B227" s="78"/>
      <x:c r="C227" s="78"/>
      <x:c r="D227" s="78"/>
      <x:c r="E227" s="78"/>
      <x:c r="F227" s="78"/>
      <x:c r="G227" s="78"/>
      <x:c r="H227" s="78"/>
      <x:c r="I227" s="78"/>
      <x:c r="J227" s="78"/>
      <x:c r="K227" s="78"/>
      <x:c r="L227" s="78"/>
      <x:c r="M227" s="78"/>
      <x:c r="N227" s="78"/>
      <x:c r="O227" s="78"/>
      <x:c r="P227" s="78"/>
      <x:c r="Q227" s="78"/>
      <x:c r="R227" s="78"/>
      <x:c r="S227" s="78"/>
      <x:c r="T227" s="78"/>
      <x:c r="U227" s="78"/>
      <x:c r="V227" s="78"/>
      <x:c r="W227" s="78"/>
      <x:c r="X227" s="78"/>
      <x:c r="Y227" s="78"/>
      <x:c r="Z227" s="78"/>
      <x:c r="AA227" s="78"/>
      <x:c r="AB227" s="78"/>
      <x:c r="AC227" s="78"/>
      <x:c r="AD227" s="78"/>
      <x:c r="AE227" s="78"/>
    </x:row>
    <x:row r="228" ht="24" customHeight="1">
      <x:c r="A228" s="78"/>
      <x:c r="B228" s="78"/>
      <x:c r="C228" s="78"/>
      <x:c r="D228" s="78"/>
      <x:c r="E228" s="78"/>
      <x:c r="F228" s="78"/>
      <x:c r="G228" s="78"/>
      <x:c r="H228" s="78"/>
      <x:c r="I228" s="78"/>
      <x:c r="J228" s="78"/>
      <x:c r="K228" s="78"/>
      <x:c r="L228" s="78"/>
      <x:c r="M228" s="78"/>
      <x:c r="N228" s="78"/>
      <x:c r="O228" s="78"/>
      <x:c r="P228" s="78"/>
      <x:c r="Q228" s="78"/>
      <x:c r="R228" s="78"/>
      <x:c r="S228" s="78"/>
      <x:c r="T228" s="78"/>
      <x:c r="U228" s="78"/>
      <x:c r="V228" s="78"/>
      <x:c r="W228" s="78"/>
      <x:c r="X228" s="78"/>
      <x:c r="Y228" s="78"/>
      <x:c r="Z228" s="78"/>
      <x:c r="AA228" s="78"/>
      <x:c r="AB228" s="78"/>
      <x:c r="AC228" s="78"/>
      <x:c r="AD228" s="78"/>
      <x:c r="AE228" s="78"/>
    </x:row>
    <x:row r="229" ht="24" customHeight="1">
      <x:c r="A229" s="78"/>
      <x:c r="B229" s="78"/>
      <x:c r="C229" s="78"/>
      <x:c r="D229" s="78"/>
      <x:c r="E229" s="78"/>
      <x:c r="F229" s="78"/>
      <x:c r="G229" s="78"/>
      <x:c r="H229" s="78"/>
      <x:c r="I229" s="78"/>
      <x:c r="J229" s="78"/>
      <x:c r="K229" s="78"/>
      <x:c r="L229" s="78"/>
      <x:c r="M229" s="78"/>
      <x:c r="N229" s="78"/>
      <x:c r="O229" s="78"/>
      <x:c r="P229" s="78"/>
      <x:c r="Q229" s="78"/>
      <x:c r="R229" s="78"/>
      <x:c r="S229" s="78"/>
      <x:c r="T229" s="78"/>
      <x:c r="U229" s="78"/>
      <x:c r="V229" s="78"/>
      <x:c r="W229" s="78"/>
      <x:c r="X229" s="78"/>
      <x:c r="Y229" s="78"/>
      <x:c r="Z229" s="78"/>
      <x:c r="AA229" s="78"/>
      <x:c r="AB229" s="78"/>
      <x:c r="AC229" s="78"/>
      <x:c r="AD229" s="78"/>
      <x:c r="AE229" s="78"/>
    </x:row>
    <x:row r="230" ht="24" customHeight="1">
      <x:c r="A230" s="78"/>
      <x:c r="B230" s="78"/>
      <x:c r="C230" s="78"/>
      <x:c r="D230" s="78"/>
      <x:c r="E230" s="78"/>
      <x:c r="F230" s="78"/>
      <x:c r="G230" s="78"/>
      <x:c r="H230" s="78"/>
      <x:c r="I230" s="78"/>
      <x:c r="J230" s="78"/>
      <x:c r="K230" s="78"/>
      <x:c r="L230" s="78"/>
      <x:c r="M230" s="78"/>
      <x:c r="N230" s="78"/>
      <x:c r="O230" s="78"/>
      <x:c r="P230" s="78"/>
      <x:c r="Q230" s="78"/>
      <x:c r="R230" s="78"/>
      <x:c r="S230" s="78"/>
      <x:c r="T230" s="78"/>
      <x:c r="U230" s="78"/>
      <x:c r="V230" s="78"/>
      <x:c r="W230" s="78"/>
      <x:c r="X230" s="78"/>
      <x:c r="Y230" s="78"/>
      <x:c r="Z230" s="78"/>
      <x:c r="AA230" s="78"/>
      <x:c r="AB230" s="78"/>
      <x:c r="AC230" s="78"/>
      <x:c r="AD230" s="78"/>
      <x:c r="AE230" s="78"/>
    </x:row>
    <x:row r="231" ht="24" customHeight="1">
      <x:c r="A231" s="78"/>
      <x:c r="B231" s="78"/>
      <x:c r="C231" s="78"/>
      <x:c r="D231" s="78"/>
      <x:c r="E231" s="78"/>
      <x:c r="F231" s="78"/>
      <x:c r="G231" s="78"/>
      <x:c r="H231" s="78"/>
      <x:c r="I231" s="78"/>
      <x:c r="J231" s="78"/>
      <x:c r="K231" s="78"/>
      <x:c r="L231" s="78"/>
      <x:c r="M231" s="78"/>
      <x:c r="N231" s="78"/>
      <x:c r="O231" s="78"/>
      <x:c r="P231" s="78"/>
      <x:c r="Q231" s="78"/>
      <x:c r="R231" s="78"/>
      <x:c r="S231" s="78"/>
      <x:c r="T231" s="78"/>
      <x:c r="U231" s="78"/>
      <x:c r="V231" s="78"/>
      <x:c r="W231" s="78"/>
      <x:c r="X231" s="78"/>
      <x:c r="Y231" s="78"/>
      <x:c r="Z231" s="78"/>
      <x:c r="AA231" s="78"/>
      <x:c r="AB231" s="78"/>
      <x:c r="AC231" s="78"/>
      <x:c r="AD231" s="78"/>
      <x:c r="AE231" s="78"/>
    </x:row>
    <x:row r="232" ht="24" customHeight="1">
      <x:c r="A232" s="78"/>
      <x:c r="B232" s="78"/>
      <x:c r="C232" s="78"/>
      <x:c r="D232" s="78"/>
      <x:c r="E232" s="78"/>
      <x:c r="F232" s="78"/>
      <x:c r="G232" s="78"/>
      <x:c r="H232" s="78"/>
      <x:c r="I232" s="78"/>
      <x:c r="J232" s="78"/>
      <x:c r="K232" s="78"/>
      <x:c r="L232" s="78"/>
      <x:c r="M232" s="78"/>
      <x:c r="N232" s="78"/>
      <x:c r="O232" s="78"/>
      <x:c r="P232" s="78"/>
      <x:c r="Q232" s="78"/>
      <x:c r="R232" s="78"/>
      <x:c r="S232" s="78"/>
      <x:c r="T232" s="78"/>
      <x:c r="U232" s="78"/>
      <x:c r="V232" s="78"/>
      <x:c r="W232" s="78"/>
      <x:c r="X232" s="78"/>
      <x:c r="Y232" s="78"/>
      <x:c r="Z232" s="78"/>
      <x:c r="AA232" s="78"/>
      <x:c r="AB232" s="78"/>
      <x:c r="AC232" s="78"/>
      <x:c r="AD232" s="78"/>
      <x:c r="AE232" s="78"/>
    </x:row>
    <x:row r="233" ht="24" customHeight="1">
      <x:c r="A233" s="78"/>
      <x:c r="B233" s="78"/>
      <x:c r="C233" s="78"/>
      <x:c r="D233" s="78"/>
      <x:c r="E233" s="78"/>
      <x:c r="F233" s="78"/>
      <x:c r="G233" s="78"/>
      <x:c r="H233" s="78"/>
      <x:c r="I233" s="78"/>
      <x:c r="J233" s="78"/>
      <x:c r="K233" s="78"/>
      <x:c r="L233" s="78"/>
      <x:c r="M233" s="78"/>
      <x:c r="N233" s="78"/>
      <x:c r="O233" s="78"/>
      <x:c r="P233" s="78"/>
      <x:c r="Q233" s="78"/>
      <x:c r="R233" s="78"/>
      <x:c r="S233" s="78"/>
      <x:c r="T233" s="78"/>
      <x:c r="U233" s="78"/>
      <x:c r="V233" s="78"/>
      <x:c r="W233" s="78"/>
      <x:c r="X233" s="78"/>
      <x:c r="Y233" s="78"/>
      <x:c r="Z233" s="78"/>
      <x:c r="AA233" s="78"/>
      <x:c r="AB233" s="78"/>
      <x:c r="AC233" s="78"/>
      <x:c r="AD233" s="78"/>
      <x:c r="AE233" s="78"/>
    </x:row>
    <x:row r="234" ht="24" customHeight="1">
      <x:c r="A234" s="78"/>
      <x:c r="B234" s="78"/>
      <x:c r="C234" s="78"/>
      <x:c r="D234" s="78"/>
      <x:c r="E234" s="78"/>
      <x:c r="F234" s="78"/>
      <x:c r="G234" s="78"/>
      <x:c r="H234" s="78"/>
      <x:c r="I234" s="78"/>
      <x:c r="J234" s="78"/>
      <x:c r="K234" s="78"/>
      <x:c r="L234" s="78"/>
      <x:c r="M234" s="78"/>
      <x:c r="N234" s="78"/>
      <x:c r="O234" s="78"/>
      <x:c r="P234" s="78"/>
      <x:c r="Q234" s="78"/>
      <x:c r="R234" s="78"/>
      <x:c r="S234" s="78"/>
      <x:c r="T234" s="78"/>
      <x:c r="U234" s="78"/>
      <x:c r="V234" s="78"/>
      <x:c r="W234" s="78"/>
      <x:c r="X234" s="78"/>
      <x:c r="Y234" s="78"/>
      <x:c r="Z234" s="78"/>
      <x:c r="AA234" s="78"/>
      <x:c r="AB234" s="78"/>
      <x:c r="AC234" s="78"/>
      <x:c r="AD234" s="78"/>
      <x:c r="AE234" s="78"/>
    </x:row>
    <x:row r="235" ht="24" customHeight="1">
      <x:c r="A235" s="78"/>
      <x:c r="B235" s="78"/>
      <x:c r="C235" s="78"/>
      <x:c r="D235" s="78"/>
      <x:c r="E235" s="78"/>
      <x:c r="F235" s="78"/>
      <x:c r="G235" s="78"/>
      <x:c r="H235" s="78"/>
      <x:c r="I235" s="78"/>
      <x:c r="J235" s="78"/>
      <x:c r="K235" s="78"/>
      <x:c r="L235" s="78"/>
      <x:c r="M235" s="78"/>
      <x:c r="N235" s="78"/>
      <x:c r="O235" s="78"/>
      <x:c r="P235" s="78"/>
      <x:c r="Q235" s="78"/>
      <x:c r="R235" s="78"/>
      <x:c r="S235" s="78"/>
      <x:c r="T235" s="78"/>
      <x:c r="U235" s="78"/>
      <x:c r="V235" s="78"/>
      <x:c r="W235" s="78"/>
      <x:c r="X235" s="78"/>
      <x:c r="Y235" s="78"/>
      <x:c r="Z235" s="78"/>
      <x:c r="AA235" s="78"/>
      <x:c r="AB235" s="78"/>
      <x:c r="AC235" s="78"/>
      <x:c r="AD235" s="78"/>
      <x:c r="AE235" s="78"/>
    </x:row>
    <x:row r="236" ht="24" customHeight="1">
      <x:c r="A236" s="78"/>
      <x:c r="B236" s="78"/>
      <x:c r="C236" s="78"/>
      <x:c r="D236" s="78"/>
      <x:c r="E236" s="78"/>
      <x:c r="F236" s="78"/>
      <x:c r="G236" s="78"/>
      <x:c r="H236" s="78"/>
      <x:c r="I236" s="78"/>
      <x:c r="J236" s="78"/>
      <x:c r="K236" s="78"/>
      <x:c r="L236" s="78"/>
      <x:c r="M236" s="78"/>
      <x:c r="N236" s="78"/>
      <x:c r="O236" s="78"/>
      <x:c r="P236" s="78"/>
      <x:c r="Q236" s="78"/>
      <x:c r="R236" s="78"/>
      <x:c r="S236" s="78"/>
      <x:c r="T236" s="78"/>
      <x:c r="U236" s="78"/>
      <x:c r="V236" s="78"/>
      <x:c r="W236" s="78"/>
      <x:c r="X236" s="78"/>
      <x:c r="Y236" s="78"/>
      <x:c r="Z236" s="78"/>
      <x:c r="AA236" s="78"/>
      <x:c r="AB236" s="78"/>
      <x:c r="AC236" s="78"/>
      <x:c r="AD236" s="78"/>
      <x:c r="AE236" s="78"/>
    </x:row>
    <x:row r="237" ht="24" customHeight="1">
      <x:c r="A237" s="78"/>
      <x:c r="B237" s="78"/>
      <x:c r="C237" s="78"/>
      <x:c r="D237" s="78"/>
      <x:c r="E237" s="78"/>
      <x:c r="F237" s="78"/>
      <x:c r="G237" s="78"/>
      <x:c r="H237" s="78"/>
      <x:c r="I237" s="78"/>
      <x:c r="J237" s="78"/>
      <x:c r="K237" s="78"/>
      <x:c r="L237" s="78"/>
      <x:c r="M237" s="78"/>
      <x:c r="N237" s="78"/>
      <x:c r="O237" s="78"/>
      <x:c r="P237" s="78"/>
      <x:c r="Q237" s="78"/>
      <x:c r="R237" s="78"/>
      <x:c r="S237" s="78"/>
      <x:c r="T237" s="78"/>
      <x:c r="U237" s="78"/>
      <x:c r="V237" s="78"/>
      <x:c r="W237" s="78"/>
      <x:c r="X237" s="78"/>
      <x:c r="Y237" s="78"/>
      <x:c r="Z237" s="78"/>
      <x:c r="AA237" s="78"/>
      <x:c r="AB237" s="78"/>
      <x:c r="AC237" s="78"/>
      <x:c r="AD237" s="78"/>
      <x:c r="AE237" s="78"/>
    </x:row>
    <x:row r="238" ht="24" customHeight="1">
      <x:c r="A238" s="78"/>
      <x:c r="B238" s="78"/>
      <x:c r="C238" s="78"/>
      <x:c r="D238" s="78"/>
      <x:c r="E238" s="78"/>
      <x:c r="F238" s="78"/>
      <x:c r="G238" s="78"/>
      <x:c r="H238" s="78"/>
      <x:c r="I238" s="78"/>
      <x:c r="J238" s="78"/>
      <x:c r="K238" s="78"/>
      <x:c r="L238" s="78"/>
      <x:c r="M238" s="78"/>
      <x:c r="N238" s="78"/>
      <x:c r="O238" s="78"/>
      <x:c r="P238" s="78"/>
      <x:c r="Q238" s="78"/>
      <x:c r="R238" s="78"/>
      <x:c r="S238" s="78"/>
      <x:c r="T238" s="78"/>
      <x:c r="U238" s="78"/>
      <x:c r="V238" s="78"/>
      <x:c r="W238" s="78"/>
      <x:c r="X238" s="78"/>
      <x:c r="Y238" s="78"/>
      <x:c r="Z238" s="78"/>
      <x:c r="AA238" s="78"/>
      <x:c r="AB238" s="78"/>
      <x:c r="AC238" s="78"/>
      <x:c r="AD238" s="78"/>
      <x:c r="AE238" s="78"/>
    </x:row>
    <x:row r="239" ht="24" customHeight="1">
      <x:c r="A239" s="78"/>
      <x:c r="B239" s="78"/>
      <x:c r="C239" s="78"/>
      <x:c r="D239" s="78"/>
      <x:c r="E239" s="78"/>
      <x:c r="F239" s="78"/>
      <x:c r="G239" s="78"/>
      <x:c r="H239" s="78"/>
      <x:c r="I239" s="78"/>
      <x:c r="J239" s="78"/>
      <x:c r="K239" s="78"/>
      <x:c r="L239" s="78"/>
      <x:c r="M239" s="78"/>
      <x:c r="N239" s="78"/>
      <x:c r="O239" s="78"/>
      <x:c r="P239" s="78"/>
      <x:c r="Q239" s="78"/>
      <x:c r="R239" s="78"/>
      <x:c r="S239" s="78"/>
      <x:c r="T239" s="78"/>
      <x:c r="U239" s="78"/>
      <x:c r="V239" s="78"/>
      <x:c r="W239" s="78"/>
      <x:c r="X239" s="78"/>
      <x:c r="Y239" s="78"/>
      <x:c r="Z239" s="78"/>
      <x:c r="AA239" s="78"/>
      <x:c r="AB239" s="78"/>
      <x:c r="AC239" s="78"/>
      <x:c r="AD239" s="78"/>
      <x:c r="AE239" s="78"/>
    </x:row>
    <x:row r="240" ht="24" customHeight="1">
      <x:c r="A240" s="78"/>
      <x:c r="B240" s="78"/>
      <x:c r="C240" s="78"/>
      <x:c r="D240" s="78"/>
      <x:c r="E240" s="78"/>
      <x:c r="F240" s="78"/>
      <x:c r="G240" s="78"/>
      <x:c r="H240" s="78"/>
      <x:c r="I240" s="78"/>
      <x:c r="J240" s="78"/>
      <x:c r="K240" s="78"/>
      <x:c r="L240" s="78"/>
      <x:c r="M240" s="78"/>
      <x:c r="N240" s="78"/>
      <x:c r="O240" s="78"/>
      <x:c r="P240" s="78"/>
      <x:c r="Q240" s="78"/>
      <x:c r="R240" s="78"/>
      <x:c r="S240" s="78"/>
      <x:c r="T240" s="78"/>
      <x:c r="U240" s="78"/>
      <x:c r="V240" s="78"/>
      <x:c r="W240" s="78"/>
      <x:c r="X240" s="78"/>
      <x:c r="Y240" s="78"/>
      <x:c r="Z240" s="78"/>
      <x:c r="AA240" s="78"/>
      <x:c r="AB240" s="78"/>
      <x:c r="AC240" s="78"/>
      <x:c r="AD240" s="78"/>
      <x:c r="AE240" s="78"/>
    </x:row>
    <x:row r="241" ht="24" customHeight="1">
      <x:c r="A241" s="78"/>
      <x:c r="B241" s="78"/>
      <x:c r="C241" s="78"/>
      <x:c r="D241" s="78"/>
      <x:c r="E241" s="78"/>
      <x:c r="F241" s="78"/>
      <x:c r="G241" s="78"/>
      <x:c r="H241" s="78"/>
      <x:c r="I241" s="78"/>
      <x:c r="J241" s="78"/>
      <x:c r="K241" s="78"/>
      <x:c r="L241" s="78"/>
      <x:c r="M241" s="78"/>
      <x:c r="N241" s="78"/>
      <x:c r="O241" s="78"/>
      <x:c r="P241" s="78"/>
      <x:c r="Q241" s="78"/>
      <x:c r="R241" s="78"/>
      <x:c r="S241" s="78"/>
      <x:c r="T241" s="78"/>
      <x:c r="U241" s="78"/>
      <x:c r="V241" s="78"/>
      <x:c r="W241" s="78"/>
      <x:c r="X241" s="78"/>
      <x:c r="Y241" s="78"/>
      <x:c r="Z241" s="78"/>
      <x:c r="AA241" s="78"/>
      <x:c r="AB241" s="78"/>
      <x:c r="AC241" s="78"/>
      <x:c r="AD241" s="78"/>
      <x:c r="AE241" s="78"/>
    </x:row>
    <x:row r="242" ht="24" customHeight="1">
      <x:c r="A242" s="78"/>
      <x:c r="B242" s="78"/>
      <x:c r="C242" s="78"/>
      <x:c r="D242" s="78"/>
      <x:c r="E242" s="78"/>
      <x:c r="F242" s="78"/>
      <x:c r="G242" s="78"/>
      <x:c r="H242" s="78"/>
      <x:c r="I242" s="78"/>
      <x:c r="J242" s="78"/>
      <x:c r="K242" s="78"/>
      <x:c r="L242" s="78"/>
      <x:c r="M242" s="78"/>
      <x:c r="N242" s="78"/>
      <x:c r="O242" s="78"/>
      <x:c r="P242" s="78"/>
      <x:c r="Q242" s="78"/>
      <x:c r="R242" s="78"/>
      <x:c r="S242" s="78"/>
      <x:c r="T242" s="78"/>
      <x:c r="U242" s="78"/>
      <x:c r="V242" s="78"/>
      <x:c r="W242" s="78"/>
      <x:c r="X242" s="78"/>
      <x:c r="Y242" s="78"/>
      <x:c r="Z242" s="78"/>
      <x:c r="AA242" s="78"/>
      <x:c r="AB242" s="78"/>
      <x:c r="AC242" s="78"/>
      <x:c r="AD242" s="78"/>
      <x:c r="AE242" s="78"/>
    </x:row>
    <x:row r="243" ht="24" customHeight="1">
      <x:c r="A243" s="78"/>
      <x:c r="B243" s="78"/>
      <x:c r="C243" s="78"/>
      <x:c r="D243" s="78"/>
      <x:c r="E243" s="78"/>
      <x:c r="F243" s="78"/>
      <x:c r="G243" s="78"/>
      <x:c r="H243" s="78"/>
      <x:c r="I243" s="78"/>
      <x:c r="J243" s="78"/>
      <x:c r="K243" s="78"/>
      <x:c r="L243" s="78"/>
      <x:c r="M243" s="78"/>
      <x:c r="N243" s="78"/>
      <x:c r="O243" s="78"/>
      <x:c r="P243" s="78"/>
      <x:c r="Q243" s="78"/>
      <x:c r="R243" s="78"/>
      <x:c r="S243" s="78"/>
      <x:c r="T243" s="78"/>
      <x:c r="U243" s="78"/>
      <x:c r="V243" s="78"/>
      <x:c r="W243" s="78"/>
      <x:c r="X243" s="78"/>
      <x:c r="Y243" s="78"/>
      <x:c r="Z243" s="78"/>
      <x:c r="AA243" s="78"/>
      <x:c r="AB243" s="78"/>
      <x:c r="AC243" s="78"/>
      <x:c r="AD243" s="78"/>
      <x:c r="AE243" s="78"/>
    </x:row>
    <x:row r="244" ht="24" customHeight="1">
      <x:c r="A244" s="78"/>
      <x:c r="B244" s="78"/>
      <x:c r="C244" s="78"/>
      <x:c r="D244" s="78"/>
      <x:c r="E244" s="78"/>
      <x:c r="F244" s="78"/>
      <x:c r="G244" s="78"/>
      <x:c r="H244" s="78"/>
      <x:c r="I244" s="78"/>
      <x:c r="J244" s="78"/>
      <x:c r="K244" s="78"/>
      <x:c r="L244" s="78"/>
      <x:c r="M244" s="78"/>
      <x:c r="N244" s="78"/>
      <x:c r="O244" s="78"/>
      <x:c r="P244" s="78"/>
      <x:c r="Q244" s="78"/>
      <x:c r="R244" s="78"/>
      <x:c r="S244" s="78"/>
      <x:c r="T244" s="78"/>
      <x:c r="U244" s="78"/>
      <x:c r="V244" s="78"/>
      <x:c r="W244" s="78"/>
      <x:c r="X244" s="78"/>
      <x:c r="Y244" s="78"/>
      <x:c r="Z244" s="78"/>
      <x:c r="AA244" s="78"/>
      <x:c r="AB244" s="78"/>
      <x:c r="AC244" s="78"/>
      <x:c r="AD244" s="78"/>
      <x:c r="AE244" s="78"/>
    </x:row>
    <x:row r="245" ht="24" customHeight="1">
      <x:c r="A245" s="78"/>
      <x:c r="B245" s="78"/>
      <x:c r="C245" s="78"/>
      <x:c r="D245" s="78"/>
      <x:c r="E245" s="78"/>
      <x:c r="F245" s="78"/>
      <x:c r="G245" s="78"/>
      <x:c r="H245" s="78"/>
      <x:c r="I245" s="78"/>
      <x:c r="J245" s="78"/>
      <x:c r="K245" s="78"/>
      <x:c r="L245" s="78"/>
      <x:c r="M245" s="78"/>
      <x:c r="N245" s="78"/>
      <x:c r="O245" s="78"/>
      <x:c r="P245" s="78"/>
      <x:c r="Q245" s="78"/>
      <x:c r="R245" s="78"/>
      <x:c r="S245" s="78"/>
      <x:c r="T245" s="78"/>
      <x:c r="U245" s="78"/>
      <x:c r="V245" s="78"/>
      <x:c r="W245" s="78"/>
      <x:c r="X245" s="78"/>
      <x:c r="Y245" s="78"/>
      <x:c r="Z245" s="78"/>
      <x:c r="AA245" s="78"/>
      <x:c r="AB245" s="78"/>
      <x:c r="AC245" s="78"/>
      <x:c r="AD245" s="78"/>
      <x:c r="AE245" s="78"/>
    </x:row>
    <x:row r="246" ht="24" customHeight="1">
      <x:c r="A246" s="78"/>
      <x:c r="B246" s="78"/>
      <x:c r="C246" s="78"/>
      <x:c r="D246" s="78"/>
      <x:c r="E246" s="78"/>
      <x:c r="F246" s="78"/>
      <x:c r="G246" s="78"/>
      <x:c r="H246" s="78"/>
      <x:c r="I246" s="78"/>
      <x:c r="J246" s="78"/>
      <x:c r="K246" s="78"/>
      <x:c r="L246" s="78"/>
      <x:c r="M246" s="78"/>
      <x:c r="N246" s="78"/>
      <x:c r="O246" s="78"/>
      <x:c r="P246" s="78"/>
      <x:c r="Q246" s="78"/>
      <x:c r="R246" s="78"/>
      <x:c r="S246" s="78"/>
      <x:c r="T246" s="78"/>
      <x:c r="U246" s="78"/>
      <x:c r="V246" s="78"/>
      <x:c r="W246" s="78"/>
      <x:c r="X246" s="78"/>
      <x:c r="Y246" s="78"/>
      <x:c r="Z246" s="78"/>
      <x:c r="AA246" s="78"/>
      <x:c r="AB246" s="78"/>
      <x:c r="AC246" s="78"/>
      <x:c r="AD246" s="78"/>
      <x:c r="AE246" s="78"/>
    </x:row>
    <x:row r="247" ht="24" customHeight="1">
      <x:c r="A247" s="78"/>
      <x:c r="B247" s="78"/>
      <x:c r="C247" s="78"/>
      <x:c r="D247" s="78"/>
      <x:c r="E247" s="78"/>
      <x:c r="F247" s="78"/>
      <x:c r="G247" s="78"/>
      <x:c r="H247" s="78"/>
      <x:c r="I247" s="78"/>
      <x:c r="J247" s="78"/>
      <x:c r="K247" s="78"/>
      <x:c r="L247" s="78"/>
      <x:c r="M247" s="78"/>
      <x:c r="N247" s="78"/>
      <x:c r="O247" s="78"/>
      <x:c r="P247" s="78"/>
      <x:c r="Q247" s="78"/>
      <x:c r="R247" s="78"/>
      <x:c r="S247" s="78"/>
      <x:c r="T247" s="78"/>
      <x:c r="U247" s="78"/>
      <x:c r="V247" s="78"/>
      <x:c r="W247" s="78"/>
      <x:c r="X247" s="78"/>
      <x:c r="Y247" s="78"/>
      <x:c r="Z247" s="78"/>
      <x:c r="AA247" s="78"/>
      <x:c r="AB247" s="78"/>
      <x:c r="AC247" s="78"/>
      <x:c r="AD247" s="78"/>
      <x:c r="AE247" s="78"/>
    </x:row>
    <x:row r="248" ht="24" customHeight="1">
      <x:c r="A248" s="78"/>
      <x:c r="B248" s="78"/>
      <x:c r="C248" s="78"/>
      <x:c r="D248" s="78"/>
      <x:c r="E248" s="78"/>
      <x:c r="F248" s="78"/>
      <x:c r="G248" s="78"/>
      <x:c r="H248" s="78"/>
      <x:c r="I248" s="78"/>
      <x:c r="J248" s="78"/>
      <x:c r="K248" s="78"/>
      <x:c r="L248" s="78"/>
      <x:c r="M248" s="78"/>
      <x:c r="N248" s="78"/>
      <x:c r="O248" s="78"/>
      <x:c r="P248" s="78"/>
      <x:c r="Q248" s="78"/>
      <x:c r="R248" s="78"/>
      <x:c r="S248" s="78"/>
      <x:c r="T248" s="78"/>
      <x:c r="U248" s="78"/>
      <x:c r="V248" s="78"/>
      <x:c r="W248" s="78"/>
      <x:c r="X248" s="78"/>
      <x:c r="Y248" s="78"/>
      <x:c r="Z248" s="78"/>
      <x:c r="AA248" s="78"/>
      <x:c r="AB248" s="78"/>
      <x:c r="AC248" s="78"/>
      <x:c r="AD248" s="78"/>
      <x:c r="AE248" s="78"/>
    </x:row>
    <x:row r="249" ht="24" customHeight="1">
      <x:c r="A249" s="78"/>
      <x:c r="B249" s="78"/>
      <x:c r="C249" s="78"/>
      <x:c r="D249" s="78"/>
      <x:c r="E249" s="78"/>
      <x:c r="F249" s="78"/>
      <x:c r="G249" s="78"/>
      <x:c r="H249" s="78"/>
      <x:c r="I249" s="78"/>
      <x:c r="J249" s="78"/>
      <x:c r="K249" s="78"/>
      <x:c r="L249" s="78"/>
      <x:c r="M249" s="78"/>
      <x:c r="N249" s="78"/>
      <x:c r="O249" s="78"/>
      <x:c r="P249" s="78"/>
      <x:c r="Q249" s="78"/>
      <x:c r="R249" s="78"/>
      <x:c r="S249" s="78"/>
      <x:c r="T249" s="78"/>
      <x:c r="U249" s="78"/>
      <x:c r="V249" s="78"/>
      <x:c r="W249" s="78"/>
      <x:c r="X249" s="78"/>
      <x:c r="Y249" s="78"/>
      <x:c r="Z249" s="78"/>
      <x:c r="AA249" s="78"/>
      <x:c r="AB249" s="78"/>
      <x:c r="AC249" s="78"/>
      <x:c r="AD249" s="78"/>
      <x:c r="AE249" s="78"/>
    </x:row>
    <x:row r="250" ht="24" customHeight="1">
      <x:c r="A250" s="78"/>
      <x:c r="B250" s="78"/>
      <x:c r="C250" s="78"/>
      <x:c r="D250" s="78"/>
      <x:c r="E250" s="78"/>
      <x:c r="F250" s="78"/>
      <x:c r="G250" s="78"/>
      <x:c r="H250" s="78"/>
      <x:c r="I250" s="78"/>
      <x:c r="J250" s="78"/>
      <x:c r="K250" s="78"/>
      <x:c r="L250" s="78"/>
      <x:c r="M250" s="78"/>
      <x:c r="N250" s="78"/>
      <x:c r="O250" s="78"/>
      <x:c r="P250" s="78"/>
      <x:c r="Q250" s="78"/>
      <x:c r="R250" s="78"/>
      <x:c r="S250" s="78"/>
      <x:c r="T250" s="78"/>
      <x:c r="U250" s="78"/>
      <x:c r="V250" s="78"/>
      <x:c r="W250" s="78"/>
      <x:c r="X250" s="78"/>
      <x:c r="Y250" s="78"/>
      <x:c r="Z250" s="78"/>
      <x:c r="AA250" s="78"/>
      <x:c r="AB250" s="78"/>
      <x:c r="AC250" s="78"/>
      <x:c r="AD250" s="78"/>
      <x:c r="AE250" s="78"/>
    </x:row>
    <x:row r="251" ht="24" customHeight="1">
      <x:c r="A251" s="78"/>
      <x:c r="B251" s="78"/>
      <x:c r="C251" s="78"/>
      <x:c r="D251" s="78"/>
      <x:c r="E251" s="78"/>
      <x:c r="F251" s="78"/>
      <x:c r="G251" s="78"/>
      <x:c r="H251" s="78"/>
      <x:c r="I251" s="78"/>
      <x:c r="J251" s="78"/>
      <x:c r="K251" s="78"/>
      <x:c r="L251" s="78"/>
      <x:c r="M251" s="78"/>
      <x:c r="N251" s="78"/>
      <x:c r="O251" s="78"/>
      <x:c r="P251" s="78"/>
      <x:c r="Q251" s="78"/>
      <x:c r="R251" s="78"/>
      <x:c r="S251" s="78"/>
      <x:c r="T251" s="78"/>
      <x:c r="U251" s="78"/>
      <x:c r="V251" s="78"/>
      <x:c r="W251" s="78"/>
      <x:c r="X251" s="78"/>
      <x:c r="Y251" s="78"/>
      <x:c r="Z251" s="78"/>
      <x:c r="AA251" s="78"/>
      <x:c r="AB251" s="78"/>
      <x:c r="AC251" s="78"/>
      <x:c r="AD251" s="78"/>
      <x:c r="AE251" s="78"/>
    </x:row>
    <x:row r="252" ht="24" customHeight="1">
      <x:c r="A252" s="78"/>
      <x:c r="B252" s="78"/>
      <x:c r="C252" s="78"/>
      <x:c r="D252" s="78"/>
      <x:c r="E252" s="78"/>
      <x:c r="F252" s="78"/>
      <x:c r="G252" s="78"/>
      <x:c r="H252" s="78"/>
      <x:c r="I252" s="78"/>
      <x:c r="J252" s="78"/>
      <x:c r="K252" s="78"/>
      <x:c r="L252" s="78"/>
      <x:c r="M252" s="78"/>
      <x:c r="N252" s="78"/>
      <x:c r="O252" s="78"/>
      <x:c r="P252" s="78"/>
      <x:c r="Q252" s="78"/>
      <x:c r="R252" s="78"/>
      <x:c r="S252" s="78"/>
      <x:c r="T252" s="78"/>
      <x:c r="U252" s="78"/>
      <x:c r="V252" s="78"/>
      <x:c r="W252" s="78"/>
      <x:c r="X252" s="78"/>
      <x:c r="Y252" s="78"/>
      <x:c r="Z252" s="78"/>
      <x:c r="AA252" s="78"/>
      <x:c r="AB252" s="78"/>
      <x:c r="AC252" s="78"/>
      <x:c r="AD252" s="78"/>
      <x:c r="AE252" s="78"/>
    </x:row>
    <x:row r="253" ht="24" customHeight="1">
      <x:c r="A253" s="78"/>
      <x:c r="B253" s="78"/>
      <x:c r="C253" s="78"/>
      <x:c r="D253" s="78"/>
      <x:c r="E253" s="78"/>
      <x:c r="F253" s="78"/>
      <x:c r="G253" s="78"/>
      <x:c r="H253" s="78"/>
      <x:c r="I253" s="78"/>
      <x:c r="J253" s="78"/>
      <x:c r="K253" s="78"/>
      <x:c r="L253" s="78"/>
      <x:c r="M253" s="78"/>
      <x:c r="N253" s="78"/>
      <x:c r="O253" s="78"/>
      <x:c r="P253" s="78"/>
      <x:c r="Q253" s="78"/>
      <x:c r="R253" s="78"/>
      <x:c r="S253" s="78"/>
      <x:c r="T253" s="78"/>
      <x:c r="U253" s="78"/>
      <x:c r="V253" s="78"/>
      <x:c r="W253" s="78"/>
      <x:c r="X253" s="78"/>
      <x:c r="Y253" s="78"/>
      <x:c r="Z253" s="78"/>
      <x:c r="AA253" s="78"/>
      <x:c r="AB253" s="78"/>
      <x:c r="AC253" s="78"/>
      <x:c r="AD253" s="78"/>
      <x:c r="AE253" s="78"/>
    </x:row>
    <x:row r="254" ht="24" customHeight="1">
      <x:c r="A254" s="78"/>
      <x:c r="B254" s="78"/>
      <x:c r="C254" s="78"/>
      <x:c r="D254" s="78"/>
      <x:c r="E254" s="78"/>
      <x:c r="F254" s="78"/>
      <x:c r="G254" s="78"/>
      <x:c r="H254" s="78"/>
      <x:c r="I254" s="78"/>
      <x:c r="J254" s="78"/>
      <x:c r="K254" s="78"/>
      <x:c r="L254" s="78"/>
      <x:c r="M254" s="78"/>
      <x:c r="N254" s="78"/>
      <x:c r="O254" s="78"/>
      <x:c r="P254" s="78"/>
      <x:c r="Q254" s="78"/>
      <x:c r="R254" s="78"/>
      <x:c r="S254" s="78"/>
      <x:c r="T254" s="78"/>
      <x:c r="U254" s="78"/>
      <x:c r="V254" s="78"/>
      <x:c r="W254" s="78"/>
      <x:c r="X254" s="78"/>
      <x:c r="Y254" s="78"/>
      <x:c r="Z254" s="78"/>
      <x:c r="AA254" s="78"/>
      <x:c r="AB254" s="78"/>
      <x:c r="AC254" s="78"/>
      <x:c r="AD254" s="78"/>
      <x:c r="AE254" s="78"/>
    </x:row>
    <x:row r="255" ht="24" customHeight="1">
      <x:c r="A255" s="78"/>
      <x:c r="B255" s="78"/>
      <x:c r="C255" s="78"/>
      <x:c r="D255" s="78"/>
      <x:c r="E255" s="78"/>
      <x:c r="F255" s="78"/>
      <x:c r="G255" s="78"/>
      <x:c r="H255" s="78"/>
      <x:c r="I255" s="78"/>
      <x:c r="J255" s="78"/>
      <x:c r="K255" s="78"/>
      <x:c r="L255" s="78"/>
      <x:c r="M255" s="78"/>
      <x:c r="N255" s="78"/>
      <x:c r="O255" s="78"/>
      <x:c r="P255" s="78"/>
      <x:c r="Q255" s="78"/>
      <x:c r="R255" s="78"/>
      <x:c r="S255" s="78"/>
      <x:c r="T255" s="78"/>
      <x:c r="U255" s="78"/>
      <x:c r="V255" s="78"/>
      <x:c r="W255" s="78"/>
      <x:c r="X255" s="78"/>
      <x:c r="Y255" s="78"/>
      <x:c r="Z255" s="78"/>
      <x:c r="AA255" s="78"/>
      <x:c r="AB255" s="78"/>
      <x:c r="AC255" s="78"/>
      <x:c r="AD255" s="78"/>
      <x:c r="AE255" s="78"/>
    </x:row>
    <x:row r="256" ht="24" customHeight="1">
      <x:c r="A256" s="78"/>
      <x:c r="B256" s="78"/>
      <x:c r="C256" s="78"/>
      <x:c r="D256" s="78"/>
      <x:c r="E256" s="78"/>
      <x:c r="F256" s="78"/>
      <x:c r="G256" s="78"/>
      <x:c r="H256" s="78"/>
      <x:c r="I256" s="78"/>
      <x:c r="J256" s="78"/>
      <x:c r="K256" s="78"/>
      <x:c r="L256" s="78"/>
      <x:c r="M256" s="78"/>
      <x:c r="N256" s="78"/>
      <x:c r="O256" s="78"/>
      <x:c r="P256" s="78"/>
      <x:c r="Q256" s="78"/>
      <x:c r="R256" s="78"/>
      <x:c r="S256" s="78"/>
      <x:c r="T256" s="78"/>
      <x:c r="U256" s="78"/>
      <x:c r="V256" s="78"/>
      <x:c r="W256" s="78"/>
      <x:c r="X256" s="78"/>
      <x:c r="Y256" s="78"/>
      <x:c r="Z256" s="78"/>
      <x:c r="AA256" s="78"/>
      <x:c r="AB256" s="78"/>
      <x:c r="AC256" s="78"/>
      <x:c r="AD256" s="78"/>
      <x:c r="AE256" s="78"/>
    </x:row>
    <x:row r="257" ht="24" customHeight="1">
      <x:c r="A257" s="78"/>
      <x:c r="B257" s="78"/>
      <x:c r="C257" s="78"/>
      <x:c r="D257" s="78"/>
      <x:c r="E257" s="78"/>
      <x:c r="F257" s="78"/>
      <x:c r="G257" s="78"/>
      <x:c r="H257" s="78"/>
      <x:c r="I257" s="78"/>
      <x:c r="J257" s="78"/>
      <x:c r="K257" s="78"/>
      <x:c r="L257" s="78"/>
      <x:c r="M257" s="78"/>
      <x:c r="N257" s="78"/>
      <x:c r="O257" s="78"/>
      <x:c r="P257" s="78"/>
      <x:c r="Q257" s="78"/>
      <x:c r="R257" s="78"/>
      <x:c r="S257" s="78"/>
      <x:c r="T257" s="78"/>
      <x:c r="U257" s="78"/>
      <x:c r="V257" s="78"/>
      <x:c r="W257" s="78"/>
      <x:c r="X257" s="78"/>
      <x:c r="Y257" s="78"/>
      <x:c r="Z257" s="78"/>
      <x:c r="AA257" s="78"/>
      <x:c r="AB257" s="78"/>
      <x:c r="AC257" s="78"/>
      <x:c r="AD257" s="78"/>
      <x:c r="AE257" s="78"/>
    </x:row>
    <x:row r="258" ht="24" customHeight="1">
      <x:c r="A258" s="78"/>
      <x:c r="B258" s="78"/>
      <x:c r="C258" s="78"/>
      <x:c r="D258" s="78"/>
      <x:c r="E258" s="78"/>
      <x:c r="F258" s="78"/>
      <x:c r="G258" s="78"/>
      <x:c r="H258" s="78"/>
      <x:c r="I258" s="78"/>
      <x:c r="J258" s="78"/>
      <x:c r="K258" s="78"/>
      <x:c r="L258" s="78"/>
      <x:c r="M258" s="78"/>
      <x:c r="N258" s="78"/>
      <x:c r="O258" s="78"/>
      <x:c r="P258" s="78"/>
      <x:c r="Q258" s="78"/>
      <x:c r="R258" s="78"/>
      <x:c r="S258" s="78"/>
      <x:c r="T258" s="78"/>
      <x:c r="U258" s="78"/>
      <x:c r="V258" s="78"/>
      <x:c r="W258" s="78"/>
      <x:c r="X258" s="78"/>
      <x:c r="Y258" s="78"/>
      <x:c r="Z258" s="78"/>
      <x:c r="AA258" s="78"/>
      <x:c r="AB258" s="78"/>
      <x:c r="AC258" s="78"/>
      <x:c r="AD258" s="78"/>
      <x:c r="AE258" s="78"/>
    </x:row>
    <x:row r="259" ht="24" customHeight="1">
      <x:c r="A259" s="78"/>
      <x:c r="B259" s="78"/>
      <x:c r="C259" s="78"/>
      <x:c r="D259" s="78"/>
      <x:c r="E259" s="78"/>
      <x:c r="F259" s="78"/>
      <x:c r="G259" s="78"/>
      <x:c r="H259" s="78"/>
      <x:c r="I259" s="78"/>
      <x:c r="J259" s="78"/>
      <x:c r="K259" s="78"/>
      <x:c r="L259" s="78"/>
      <x:c r="M259" s="78"/>
      <x:c r="N259" s="78"/>
      <x:c r="O259" s="78"/>
      <x:c r="P259" s="78"/>
      <x:c r="Q259" s="78"/>
      <x:c r="R259" s="78"/>
      <x:c r="S259" s="78"/>
      <x:c r="T259" s="78"/>
      <x:c r="U259" s="78"/>
      <x:c r="V259" s="78"/>
      <x:c r="W259" s="78"/>
      <x:c r="X259" s="78"/>
      <x:c r="Y259" s="78"/>
      <x:c r="Z259" s="78"/>
      <x:c r="AA259" s="78"/>
      <x:c r="AB259" s="78"/>
      <x:c r="AC259" s="78"/>
      <x:c r="AD259" s="78"/>
      <x:c r="AE259" s="78"/>
    </x:row>
    <x:row r="260" ht="24" customHeight="1">
      <x:c r="A260" s="78"/>
      <x:c r="B260" s="78"/>
      <x:c r="C260" s="78"/>
      <x:c r="D260" s="78"/>
      <x:c r="E260" s="78"/>
      <x:c r="F260" s="78"/>
      <x:c r="G260" s="78"/>
      <x:c r="H260" s="78"/>
      <x:c r="I260" s="78"/>
      <x:c r="J260" s="78"/>
      <x:c r="K260" s="78"/>
      <x:c r="L260" s="78"/>
      <x:c r="M260" s="78"/>
      <x:c r="N260" s="78"/>
      <x:c r="O260" s="78"/>
      <x:c r="P260" s="78"/>
      <x:c r="Q260" s="78"/>
      <x:c r="R260" s="78"/>
      <x:c r="S260" s="78"/>
      <x:c r="T260" s="78"/>
      <x:c r="U260" s="78"/>
      <x:c r="V260" s="78"/>
      <x:c r="W260" s="78"/>
      <x:c r="X260" s="78"/>
      <x:c r="Y260" s="78"/>
      <x:c r="Z260" s="78"/>
      <x:c r="AA260" s="78"/>
      <x:c r="AB260" s="78"/>
      <x:c r="AC260" s="78"/>
      <x:c r="AD260" s="78"/>
      <x:c r="AE260" s="78"/>
    </x:row>
    <x:row r="261" ht="24" customHeight="1">
      <x:c r="A261" s="78"/>
      <x:c r="B261" s="78"/>
      <x:c r="C261" s="78"/>
      <x:c r="D261" s="78"/>
      <x:c r="E261" s="78"/>
      <x:c r="F261" s="78"/>
      <x:c r="G261" s="78"/>
      <x:c r="H261" s="78"/>
      <x:c r="I261" s="78"/>
      <x:c r="J261" s="78"/>
      <x:c r="K261" s="78"/>
      <x:c r="L261" s="78"/>
      <x:c r="M261" s="78"/>
      <x:c r="N261" s="78"/>
      <x:c r="O261" s="78"/>
      <x:c r="P261" s="78"/>
      <x:c r="Q261" s="78"/>
      <x:c r="R261" s="78"/>
      <x:c r="S261" s="78"/>
      <x:c r="T261" s="78"/>
      <x:c r="U261" s="78"/>
      <x:c r="V261" s="78"/>
      <x:c r="W261" s="78"/>
      <x:c r="X261" s="78"/>
      <x:c r="Y261" s="78"/>
      <x:c r="Z261" s="78"/>
      <x:c r="AA261" s="78"/>
      <x:c r="AB261" s="78"/>
      <x:c r="AC261" s="78"/>
      <x:c r="AD261" s="78"/>
      <x:c r="AE261" s="78"/>
    </x:row>
    <x:row r="262" ht="24" customHeight="1">
      <x:c r="A262" s="78"/>
      <x:c r="B262" s="78"/>
      <x:c r="C262" s="78"/>
      <x:c r="D262" s="78"/>
      <x:c r="E262" s="78"/>
      <x:c r="F262" s="78"/>
      <x:c r="G262" s="78"/>
      <x:c r="H262" s="78"/>
      <x:c r="I262" s="78"/>
      <x:c r="J262" s="78"/>
      <x:c r="K262" s="78"/>
      <x:c r="L262" s="78"/>
      <x:c r="M262" s="78"/>
      <x:c r="N262" s="78"/>
      <x:c r="O262" s="78"/>
      <x:c r="P262" s="78"/>
      <x:c r="Q262" s="78"/>
      <x:c r="R262" s="78"/>
      <x:c r="S262" s="78"/>
      <x:c r="T262" s="78"/>
      <x:c r="U262" s="78"/>
      <x:c r="V262" s="78"/>
      <x:c r="W262" s="78"/>
      <x:c r="X262" s="78"/>
      <x:c r="Y262" s="78"/>
      <x:c r="Z262" s="78"/>
      <x:c r="AA262" s="78"/>
      <x:c r="AB262" s="78"/>
      <x:c r="AC262" s="78"/>
      <x:c r="AD262" s="78"/>
      <x:c r="AE262" s="78"/>
    </x:row>
    <x:row r="263" ht="24" customHeight="1">
      <x:c r="A263" s="78"/>
      <x:c r="B263" s="78"/>
      <x:c r="C263" s="78"/>
      <x:c r="D263" s="78"/>
      <x:c r="E263" s="78"/>
      <x:c r="F263" s="78"/>
      <x:c r="G263" s="78"/>
      <x:c r="H263" s="78"/>
      <x:c r="I263" s="78"/>
      <x:c r="J263" s="78"/>
      <x:c r="K263" s="78"/>
      <x:c r="L263" s="78"/>
      <x:c r="M263" s="78"/>
      <x:c r="N263" s="78"/>
      <x:c r="O263" s="78"/>
      <x:c r="P263" s="78"/>
      <x:c r="Q263" s="78"/>
      <x:c r="R263" s="78"/>
      <x:c r="S263" s="78"/>
      <x:c r="T263" s="78"/>
      <x:c r="U263" s="78"/>
      <x:c r="V263" s="78"/>
      <x:c r="W263" s="78"/>
      <x:c r="X263" s="78"/>
      <x:c r="Y263" s="78"/>
      <x:c r="Z263" s="78"/>
      <x:c r="AA263" s="78"/>
      <x:c r="AB263" s="78"/>
      <x:c r="AC263" s="78"/>
      <x:c r="AD263" s="78"/>
      <x:c r="AE263" s="78"/>
    </x:row>
    <x:row r="264" ht="24" customHeight="1">
      <x:c r="A264" s="78"/>
      <x:c r="B264" s="78"/>
      <x:c r="C264" s="78"/>
      <x:c r="D264" s="78"/>
      <x:c r="E264" s="78"/>
      <x:c r="F264" s="78"/>
      <x:c r="G264" s="78"/>
      <x:c r="H264" s="78"/>
      <x:c r="I264" s="78"/>
      <x:c r="J264" s="78"/>
      <x:c r="K264" s="78"/>
      <x:c r="L264" s="78"/>
      <x:c r="M264" s="78"/>
      <x:c r="N264" s="78"/>
      <x:c r="O264" s="78"/>
      <x:c r="P264" s="78"/>
      <x:c r="Q264" s="78"/>
      <x:c r="R264" s="78"/>
      <x:c r="S264" s="78"/>
      <x:c r="T264" s="78"/>
      <x:c r="U264" s="78"/>
      <x:c r="V264" s="78"/>
      <x:c r="W264" s="78"/>
      <x:c r="X264" s="78"/>
      <x:c r="Y264" s="78"/>
      <x:c r="Z264" s="78"/>
      <x:c r="AA264" s="78"/>
      <x:c r="AB264" s="78"/>
      <x:c r="AC264" s="78"/>
      <x:c r="AD264" s="78"/>
      <x:c r="AE264" s="78"/>
    </x:row>
    <x:row r="265" ht="24" customHeight="1">
      <x:c r="A265" s="78"/>
      <x:c r="B265" s="78"/>
      <x:c r="C265" s="78"/>
      <x:c r="D265" s="78"/>
      <x:c r="E265" s="78"/>
      <x:c r="F265" s="78"/>
      <x:c r="G265" s="78"/>
      <x:c r="H265" s="78"/>
      <x:c r="I265" s="78"/>
      <x:c r="J265" s="78"/>
      <x:c r="K265" s="78"/>
      <x:c r="L265" s="78"/>
      <x:c r="M265" s="78"/>
      <x:c r="N265" s="78"/>
      <x:c r="O265" s="78"/>
      <x:c r="P265" s="78"/>
      <x:c r="Q265" s="78"/>
      <x:c r="R265" s="78"/>
      <x:c r="S265" s="78"/>
      <x:c r="T265" s="78"/>
      <x:c r="U265" s="78"/>
      <x:c r="V265" s="78"/>
      <x:c r="W265" s="78"/>
      <x:c r="X265" s="78"/>
      <x:c r="Y265" s="78"/>
      <x:c r="Z265" s="78"/>
      <x:c r="AA265" s="78"/>
      <x:c r="AB265" s="78"/>
      <x:c r="AC265" s="78"/>
      <x:c r="AD265" s="78"/>
      <x:c r="AE265" s="78"/>
    </x:row>
    <x:row r="266" ht="24" customHeight="1">
      <x:c r="A266" s="78"/>
      <x:c r="B266" s="78"/>
      <x:c r="C266" s="78"/>
      <x:c r="D266" s="78"/>
      <x:c r="E266" s="78"/>
      <x:c r="F266" s="78"/>
      <x:c r="G266" s="78"/>
      <x:c r="H266" s="78"/>
      <x:c r="I266" s="78"/>
      <x:c r="J266" s="78"/>
      <x:c r="K266" s="78"/>
      <x:c r="L266" s="78"/>
      <x:c r="M266" s="78"/>
      <x:c r="N266" s="78"/>
      <x:c r="O266" s="78"/>
      <x:c r="P266" s="78"/>
      <x:c r="Q266" s="78"/>
      <x:c r="R266" s="78"/>
      <x:c r="S266" s="78"/>
      <x:c r="T266" s="78"/>
      <x:c r="U266" s="78"/>
      <x:c r="V266" s="78"/>
      <x:c r="W266" s="78"/>
      <x:c r="X266" s="78"/>
      <x:c r="Y266" s="78"/>
      <x:c r="Z266" s="78"/>
      <x:c r="AA266" s="78"/>
      <x:c r="AB266" s="78"/>
      <x:c r="AC266" s="78"/>
      <x:c r="AD266" s="78"/>
      <x:c r="AE266" s="78"/>
    </x:row>
    <x:row r="267" ht="24" customHeight="1">
      <x:c r="A267" s="78"/>
      <x:c r="B267" s="78"/>
      <x:c r="C267" s="78"/>
      <x:c r="D267" s="78"/>
      <x:c r="E267" s="78"/>
      <x:c r="F267" s="78"/>
      <x:c r="G267" s="78"/>
      <x:c r="H267" s="78"/>
      <x:c r="I267" s="78"/>
      <x:c r="J267" s="78"/>
      <x:c r="K267" s="78"/>
      <x:c r="L267" s="78"/>
      <x:c r="M267" s="78"/>
      <x:c r="N267" s="78"/>
      <x:c r="O267" s="78"/>
      <x:c r="P267" s="78"/>
      <x:c r="Q267" s="78"/>
      <x:c r="R267" s="78"/>
      <x:c r="S267" s="78"/>
      <x:c r="T267" s="78"/>
      <x:c r="U267" s="78"/>
      <x:c r="V267" s="78"/>
      <x:c r="W267" s="78"/>
      <x:c r="X267" s="78"/>
      <x:c r="Y267" s="78"/>
      <x:c r="Z267" s="78"/>
      <x:c r="AA267" s="78"/>
      <x:c r="AB267" s="78"/>
      <x:c r="AC267" s="78"/>
      <x:c r="AD267" s="78"/>
      <x:c r="AE267" s="78"/>
    </x:row>
    <x:row r="268" ht="24" customHeight="1">
      <x:c r="A268" s="78"/>
      <x:c r="B268" s="78"/>
      <x:c r="C268" s="78"/>
      <x:c r="D268" s="78"/>
      <x:c r="E268" s="78"/>
      <x:c r="F268" s="78"/>
      <x:c r="G268" s="78"/>
      <x:c r="H268" s="78"/>
      <x:c r="I268" s="78"/>
      <x:c r="J268" s="78"/>
      <x:c r="K268" s="78"/>
      <x:c r="L268" s="78"/>
      <x:c r="M268" s="78"/>
      <x:c r="N268" s="78"/>
      <x:c r="O268" s="78"/>
      <x:c r="P268" s="78"/>
      <x:c r="Q268" s="78"/>
      <x:c r="R268" s="78"/>
      <x:c r="S268" s="78"/>
      <x:c r="T268" s="78"/>
      <x:c r="U268" s="78"/>
      <x:c r="V268" s="78"/>
      <x:c r="W268" s="78"/>
      <x:c r="X268" s="78"/>
      <x:c r="Y268" s="78"/>
      <x:c r="Z268" s="78"/>
      <x:c r="AA268" s="78"/>
      <x:c r="AB268" s="78"/>
      <x:c r="AC268" s="78"/>
      <x:c r="AD268" s="78"/>
      <x:c r="AE268" s="78"/>
    </x:row>
    <x:row r="269" ht="24" customHeight="1">
      <x:c r="A269" s="78"/>
      <x:c r="B269" s="78"/>
      <x:c r="C269" s="78"/>
      <x:c r="D269" s="78"/>
      <x:c r="E269" s="78"/>
      <x:c r="F269" s="78"/>
      <x:c r="G269" s="78"/>
      <x:c r="H269" s="78"/>
      <x:c r="I269" s="78"/>
      <x:c r="J269" s="78"/>
      <x:c r="K269" s="78"/>
      <x:c r="L269" s="78"/>
      <x:c r="M269" s="78"/>
      <x:c r="N269" s="78"/>
      <x:c r="O269" s="78"/>
      <x:c r="P269" s="78"/>
      <x:c r="Q269" s="78"/>
      <x:c r="R269" s="78"/>
      <x:c r="S269" s="78"/>
      <x:c r="T269" s="78"/>
      <x:c r="U269" s="78"/>
      <x:c r="V269" s="78"/>
      <x:c r="W269" s="78"/>
      <x:c r="X269" s="78"/>
      <x:c r="Y269" s="78"/>
      <x:c r="Z269" s="78"/>
      <x:c r="AA269" s="78"/>
      <x:c r="AB269" s="78"/>
      <x:c r="AC269" s="78"/>
      <x:c r="AD269" s="78"/>
      <x:c r="AE269" s="78"/>
    </x:row>
    <x:row r="270" ht="24" customHeight="1">
      <x:c r="A270" s="78"/>
      <x:c r="B270" s="78"/>
      <x:c r="C270" s="78"/>
      <x:c r="D270" s="78"/>
      <x:c r="E270" s="78"/>
      <x:c r="F270" s="78"/>
      <x:c r="G270" s="78"/>
      <x:c r="H270" s="78"/>
      <x:c r="I270" s="78"/>
      <x:c r="J270" s="78"/>
      <x:c r="K270" s="78"/>
      <x:c r="L270" s="78"/>
      <x:c r="M270" s="78"/>
      <x:c r="N270" s="78"/>
      <x:c r="O270" s="78"/>
      <x:c r="P270" s="78"/>
      <x:c r="Q270" s="78"/>
      <x:c r="R270" s="78"/>
      <x:c r="S270" s="78"/>
      <x:c r="T270" s="78"/>
      <x:c r="U270" s="78"/>
      <x:c r="V270" s="78"/>
      <x:c r="W270" s="78"/>
      <x:c r="X270" s="78"/>
      <x:c r="Y270" s="78"/>
      <x:c r="Z270" s="78"/>
      <x:c r="AA270" s="78"/>
      <x:c r="AB270" s="78"/>
      <x:c r="AC270" s="78"/>
      <x:c r="AD270" s="78"/>
      <x:c r="AE270" s="78"/>
    </x:row>
  </x:sheetData>
  <x:mergeCells>
    <x:mergeCell ref="B9:D10"/>
    <x:mergeCell ref="B11:B12"/>
    <x:mergeCell ref="C11:C12"/>
    <x:mergeCell ref="D11:D12"/>
    <x:mergeCell ref="E9:J9"/>
    <x:mergeCell ref="E10:J10"/>
    <x:mergeCell ref="E11:G11"/>
    <x:mergeCell ref="H11:J11"/>
    <x:mergeCell ref="K9:P9"/>
    <x:mergeCell ref="K10:P10"/>
    <x:mergeCell ref="K11:M11"/>
    <x:mergeCell ref="N11:P11"/>
    <x:mergeCell ref="Q9:V9"/>
    <x:mergeCell ref="Q10:V10"/>
    <x:mergeCell ref="Q11:S11"/>
    <x:mergeCell ref="T11:V11"/>
    <x:mergeCell ref="W9:W12"/>
    <x:mergeCell ref="X9:AA10"/>
    <x:mergeCell ref="X11:X12"/>
    <x:mergeCell ref="Y11:Y12"/>
    <x:mergeCell ref="Z11:Z12"/>
    <x:mergeCell ref="AA11:AA12"/>
    <x:mergeCell ref="AB9:AE10"/>
    <x:mergeCell ref="AB11:AB12"/>
    <x:mergeCell ref="AC11:AC12"/>
    <x:mergeCell ref="AD11:AD12"/>
    <x:mergeCell ref="AE11:AE12"/>
    <x:mergeCell ref="B13:D13"/>
    <x:mergeCell ref="B24:D24"/>
    <x:mergeCell ref="B36:D36"/>
    <x:mergeCell ref="B46:D46"/>
    <x:mergeCell ref="B56:D56"/>
    <x:mergeCell ref="B67:D67"/>
    <x:mergeCell ref="B78:D78"/>
    <x:mergeCell ref="B89:D89"/>
    <x:mergeCell ref="B100:D100"/>
    <x:mergeCell ref="B101:D101"/>
    <x:mergeCell ref="B106:D107"/>
    <x:mergeCell ref="B108:B109"/>
    <x:mergeCell ref="C108:C109"/>
    <x:mergeCell ref="D108:D109"/>
    <x:mergeCell ref="E106:J106"/>
    <x:mergeCell ref="E107:J107"/>
    <x:mergeCell ref="E108:G108"/>
    <x:mergeCell ref="H108:J108"/>
    <x:mergeCell ref="K106:P106"/>
    <x:mergeCell ref="K107:P107"/>
    <x:mergeCell ref="K108:M108"/>
    <x:mergeCell ref="N108:P108"/>
    <x:mergeCell ref="Q106:V106"/>
    <x:mergeCell ref="Q107:V107"/>
    <x:mergeCell ref="Q108:S108"/>
    <x:mergeCell ref="T108:V108"/>
    <x:mergeCell ref="W106:W109"/>
    <x:mergeCell ref="X106:AA107"/>
    <x:mergeCell ref="X108:X109"/>
    <x:mergeCell ref="Y108:Y109"/>
    <x:mergeCell ref="Z108:Z109"/>
    <x:mergeCell ref="AA108:AA109"/>
    <x:mergeCell ref="AB106:AE107"/>
    <x:mergeCell ref="AB108:AB109"/>
    <x:mergeCell ref="AC108:AC109"/>
    <x:mergeCell ref="AD108:AD109"/>
    <x:mergeCell ref="AE108:AE109"/>
    <x:mergeCell ref="B110:D110"/>
    <x:mergeCell ref="B121:D121"/>
    <x:mergeCell ref="B133:D133"/>
    <x:mergeCell ref="B143:D143"/>
    <x:mergeCell ref="B153:D153"/>
    <x:mergeCell ref="B164:D164"/>
    <x:mergeCell ref="B175:D175"/>
    <x:mergeCell ref="B186:D186"/>
    <x:mergeCell ref="B197:D197"/>
    <x:mergeCell ref="B198:D19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A7B893"/>
  </x:sheetPr>
  <x:sheetViews>
    <x:sheetView showGridLines="0" workbookViewId="0" tabSelected="0">
      <x:pane xSplit="6" ySplit="6" topLeftCell="G7" activePane="bottomRight" state="frozen"/>
    </x:sheetView>
  </x:sheetViews>
  <x:sheetFormatPr defaultRowHeight="15"/>
  <x:cols>
    <x:col min="1" max="1" width="2.25" hidden="0" customWidth="1"/>
    <x:col min="2" max="2" width="9.630000114440918" hidden="0" customWidth="1"/>
    <x:col min="3" max="3" width="5.630000114440918" hidden="0" customWidth="1"/>
    <x:col min="4" max="4" width="5.630000114440918" hidden="0" customWidth="1"/>
    <x:col min="5" max="5" width="11" hidden="0" customWidth="1"/>
    <x:col min="6" max="6" width="29.5" hidden="0" customWidth="1"/>
    <x:col min="7" max="7" width="7.75" hidden="0" customWidth="1"/>
    <x:col min="8" max="8" width="8.130000114440918" hidden="0" customWidth="1"/>
    <x:col min="9" max="9" width="8.75" hidden="0" customWidth="1"/>
    <x:col min="10" max="10" width="9.25" hidden="0" customWidth="1"/>
    <x:col min="11" max="11" width="8.75" hidden="0" customWidth="1"/>
    <x:col min="12" max="12" width="9.25" hidden="0" customWidth="1"/>
    <x:col min="13" max="13" width="8.75" hidden="0" customWidth="1"/>
    <x:col min="14" max="14" width="9.25" hidden="0" customWidth="1"/>
    <x:col min="15" max="15" width="8.75" hidden="0" customWidth="1"/>
    <x:col min="16" max="16" width="9.25" hidden="0" customWidth="1"/>
    <x:col min="17" max="17" width="8" hidden="0" customWidth="1"/>
    <x:col min="18" max="18" width="8" hidden="0" customWidth="1"/>
    <x:col min="19" max="19" width="9" hidden="0" customWidth="1"/>
    <x:col min="20" max="20" width="9" hidden="0" customWidth="1"/>
  </x:cols>
  <x:sheetData>
    <x:row r="1" ht="12" customHeight="1">
      <x:c r="A1" s="78"/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</x:row>
    <x:row r="2" ht="34" customHeight="1">
      <x:c r="A2" s="78"/>
      <x:c r="B2" s="4" t="str">
        <x:v>공통·융합과목 배정 반 수</x:v>
      </x:c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</x:row>
    <x:row r="3" ht="24" customHeight="1">
      <x:c r="A3" s="78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</x:row>
    <x:row r="4" ht="24" customHeight="1">
      <x:c r="A4" s="78"/>
      <x:c r="B4" s="80" t="str">
        <x:v>노란 칸은 관련 교과에 배정할 반 수, 회색 칸은 배정 대상이 아닌 교과입니다. 미배정 반 수는 0이어야 합니다.</x:v>
      </x:c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</x:row>
    <x:row r="5" ht="24" customHeight="1">
      <x:c r="A5" s="78"/>
      <x:c r="B5" s="80" t="str">
        <x:v>관련 교과 안에서 교사 1인당 평균 시수 차이를 줄인 배정안입니다. 교사 수를 바꾸면 평균만 갱신됩니다.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</x:row>
    <x:row r="6" ht="24" customHeight="1">
      <x:c r="A6" s="78"/>
      <x:c r="B6" s="80" t="str">
        <x:v>입력 근거는 기존안 과목내역·선택군비교, 교사 수는 산정근거입니다. 공통은 기존안과 변경안이 같은 학기를 뜻합니다.</x:v>
      </x:c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</x:row>
    <x:row r="7" ht="24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</x:row>
    <x:row r="8" ht="28" customHeight="1">
      <x:c r="A8" s="78"/>
      <x:c r="B8" s="82" t="str">
        <x:v>사회 영역의 통합·실험·융합과목</x:v>
      </x:c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</x:row>
    <x:row r="9" ht="44" customHeight="1">
      <x:c r="A9" s="78"/>
      <x:c r="B9" s="86" t="str">
        <x:v>학년도</x:v>
      </x:c>
      <x:c r="C9" s="86" t="str">
        <x:v>학기</x:v>
      </x:c>
      <x:c r="D9" s="86" t="str">
        <x:v>학년</x:v>
      </x:c>
      <x:c r="E9" s="86" t="str">
        <x:v>교육과정안</x:v>
      </x:c>
      <x:c r="F9" s="86" t="str">
        <x:v>과목명</x:v>
      </x:c>
      <x:c r="G9" s="86" t="str">
        <x:v>반당
시수</x:v>
      </x:c>
      <x:c r="H9" s="86" t="str">
        <x:v>개설
반 수</x:v>
      </x:c>
      <x:c r="I9" s="86" t="str">
        <x:v>역사
배정 반</x:v>
      </x:c>
      <x:c r="J9" s="86" t="str">
        <x:v>역사
배정 시수</x:v>
      </x:c>
      <x:c r="K9" s="86" t="str">
        <x:v>일반사회
배정 반</x:v>
      </x:c>
      <x:c r="L9" s="86" t="str">
        <x:v>일반사회
배정 시수</x:v>
      </x:c>
      <x:c r="M9" s="86" t="str">
        <x:v>지리
배정 반</x:v>
      </x:c>
      <x:c r="N9" s="86" t="str">
        <x:v>지리
배정 시수</x:v>
      </x:c>
      <x:c r="O9" s="86" t="str">
        <x:v>윤리
배정 반</x:v>
      </x:c>
      <x:c r="P9" s="86" t="str">
        <x:v>윤리
배정 시수</x:v>
      </x:c>
      <x:c r="Q9" s="86" t="str">
        <x:v>배정
반 합계</x:v>
      </x:c>
      <x:c r="R9" s="86" t="str">
        <x:v>미배정
반 수</x:v>
      </x:c>
      <x:c r="S9" s="86" t="str">
        <x:v>배정
시수 합계</x:v>
      </x:c>
      <x:c r="T9" s="86" t="str">
        <x:v>원과목
총시수</x:v>
      </x:c>
    </x:row>
    <x:row r="10" ht="24" customHeight="1">
      <x:c r="A10" s="78"/>
      <x:c r="B10" s="78" t="n">
        <x:v>2027</x:v>
      </x:c>
      <x:c r="C10" s="78" t="n">
        <x:v>1</x:v>
      </x:c>
      <x:c r="D10" s="78" t="n">
        <x:v>1</x:v>
      </x:c>
      <x:c r="E10" s="78" t="str">
        <x:v>공통</x:v>
      </x:c>
      <x:c r="F10" s="78" t="str">
        <x:v>통합사회1</x:v>
      </x:c>
      <x:c r="G10" s="91" t="n">
        <x:f>'기존안 과목내역'!I9</x:f>
        <x:v>4</x:v>
      </x:c>
      <x:c r="H10" s="91" t="n">
        <x:f>'기존안 과목내역'!J9</x:f>
        <x:v>12</x:v>
      </x:c>
      <x:c r="I10" s="218" t="n">
        <x:v>0</x:v>
      </x:c>
      <x:c r="J10" s="91" t="n">
        <x:f>G10*I10</x:f>
        <x:v>0</x:v>
      </x:c>
      <x:c r="K10" s="218" t="n">
        <x:v>7</x:v>
      </x:c>
      <x:c r="L10" s="91" t="n">
        <x:f>G10*K10</x:f>
        <x:v>28</x:v>
      </x:c>
      <x:c r="M10" s="218" t="n">
        <x:v>2</x:v>
      </x:c>
      <x:c r="N10" s="91" t="n">
        <x:f>G10*M10</x:f>
        <x:v>8</x:v>
      </x:c>
      <x:c r="O10" s="218" t="n">
        <x:v>3</x:v>
      </x:c>
      <x:c r="P10" s="91" t="n">
        <x:f>G10*O10</x:f>
        <x:v>12</x:v>
      </x:c>
      <x:c r="Q10" s="91" t="n">
        <x:f>SUM(I10,K10,M10,O10)</x:f>
        <x:v>12</x:v>
      </x:c>
      <x:c r="R10" s="91" t="n">
        <x:f>H10-Q10</x:f>
        <x:v>0</x:v>
      </x:c>
      <x:c r="S10" s="91" t="n">
        <x:f>SUM(J10,L10,N10,P10)</x:f>
        <x:v>48</x:v>
      </x:c>
      <x:c r="T10" s="91" t="n">
        <x:f>G10*H10</x:f>
        <x:v>48</x:v>
      </x:c>
    </x:row>
    <x:row r="11" ht="24" customHeight="1">
      <x:c r="A11" s="78"/>
      <x:c r="B11" s="78" t="n">
        <x:v>2027</x:v>
      </x:c>
      <x:c r="C11" s="78" t="n">
        <x:v>1</x:v>
      </x:c>
      <x:c r="D11" s="78" t="n">
        <x:v>3</x:v>
      </x:c>
      <x:c r="E11" s="78" t="str">
        <x:v>공통</x:v>
      </x:c>
      <x:c r="F11" s="78" t="str">
        <x:v>금융과 경제생활</x:v>
      </x:c>
      <x:c r="G11" s="91" t="n">
        <x:f>'기존안 과목내역'!I24</x:f>
        <x:v>3</x:v>
      </x:c>
      <x:c r="H11" s="91" t="n">
        <x:f>'기존안 과목내역'!J24</x:f>
        <x:v>1</x:v>
      </x:c>
      <x:c r="I11" s="220" t="n">
        <x:v>0</x:v>
      </x:c>
      <x:c r="J11" s="91" t="n">
        <x:f>G11*I11</x:f>
        <x:v>0</x:v>
      </x:c>
      <x:c r="K11" s="218" t="n">
        <x:v>1</x:v>
      </x:c>
      <x:c r="L11" s="91" t="n">
        <x:f>G11*K11</x:f>
        <x:v>3</x:v>
      </x:c>
      <x:c r="M11" s="220" t="n">
        <x:v>0</x:v>
      </x:c>
      <x:c r="N11" s="91" t="n">
        <x:f>G11*M11</x:f>
        <x:v>0</x:v>
      </x:c>
      <x:c r="O11" s="220" t="n">
        <x:v>0</x:v>
      </x:c>
      <x:c r="P11" s="91" t="n">
        <x:f>G11*O11</x:f>
        <x:v>0</x:v>
      </x:c>
      <x:c r="Q11" s="91" t="n">
        <x:f>SUM(I11,K11,M11,O11)</x:f>
        <x:v>1</x:v>
      </x:c>
      <x:c r="R11" s="91" t="n">
        <x:f>H11-Q11</x:f>
        <x:v>0</x:v>
      </x:c>
      <x:c r="S11" s="91" t="n">
        <x:f>SUM(J11,L11,N11,P11)</x:f>
        <x:v>3</x:v>
      </x:c>
      <x:c r="T11" s="91" t="n">
        <x:f>G11*H11</x:f>
        <x:v>3</x:v>
      </x:c>
    </x:row>
    <x:row r="12" ht="24" customHeight="1">
      <x:c r="A12" s="78"/>
      <x:c r="B12" s="78" t="n">
        <x:v>2027</x:v>
      </x:c>
      <x:c r="C12" s="78" t="n">
        <x:v>1</x:v>
      </x:c>
      <x:c r="D12" s="78" t="n">
        <x:v>3</x:v>
      </x:c>
      <x:c r="E12" s="78" t="str">
        <x:v>공통</x:v>
      </x:c>
      <x:c r="F12" s="78" t="str">
        <x:v>기후변화와 지속가능한 세계</x:v>
      </x:c>
      <x:c r="G12" s="91" t="n">
        <x:f>'기존안 과목내역'!I25</x:f>
        <x:v>3</x:v>
      </x:c>
      <x:c r="H12" s="91" t="n">
        <x:f>'기존안 과목내역'!J25</x:f>
        <x:v>2</x:v>
      </x:c>
      <x:c r="I12" s="220" t="n">
        <x:v>0</x:v>
      </x:c>
      <x:c r="J12" s="91" t="n">
        <x:f>G12*I12</x:f>
        <x:v>0</x:v>
      </x:c>
      <x:c r="K12" s="220" t="n">
        <x:v>0</x:v>
      </x:c>
      <x:c r="L12" s="91" t="n">
        <x:f>G12*K12</x:f>
        <x:v>0</x:v>
      </x:c>
      <x:c r="M12" s="218" t="n">
        <x:v>2</x:v>
      </x:c>
      <x:c r="N12" s="91" t="n">
        <x:f>G12*M12</x:f>
        <x:v>6</x:v>
      </x:c>
      <x:c r="O12" s="220" t="n">
        <x:v>0</x:v>
      </x:c>
      <x:c r="P12" s="91" t="n">
        <x:f>G12*O12</x:f>
        <x:v>0</x:v>
      </x:c>
      <x:c r="Q12" s="91" t="n">
        <x:f>SUM(I12,K12,M12,O12)</x:f>
        <x:v>2</x:v>
      </x:c>
      <x:c r="R12" s="91" t="n">
        <x:f>H12-Q12</x:f>
        <x:v>0</x:v>
      </x:c>
      <x:c r="S12" s="91" t="n">
        <x:f>SUM(J12,L12,N12,P12)</x:f>
        <x:v>6</x:v>
      </x:c>
      <x:c r="T12" s="91" t="n">
        <x:f>G12*H12</x:f>
        <x:v>6</x:v>
      </x:c>
    </x:row>
    <x:row r="13" ht="24" customHeight="1">
      <x:c r="A13" s="78"/>
      <x:c r="B13" s="78" t="n">
        <x:v>2027</x:v>
      </x:c>
      <x:c r="C13" s="78" t="n">
        <x:v>1</x:v>
      </x:c>
      <x:c r="D13" s="78" t="n">
        <x:v>3</x:v>
      </x:c>
      <x:c r="E13" s="78" t="str">
        <x:v>공통</x:v>
      </x:c>
      <x:c r="F13" s="78" t="str">
        <x:v>사회문제 탐구</x:v>
      </x:c>
      <x:c r="G13" s="91" t="n">
        <x:f>'기존안 과목내역'!I26</x:f>
        <x:v>3</x:v>
      </x:c>
      <x:c r="H13" s="91" t="n">
        <x:f>'기존안 과목내역'!J26</x:f>
        <x:v>2</x:v>
      </x:c>
      <x:c r="I13" s="220" t="n">
        <x:v>0</x:v>
      </x:c>
      <x:c r="J13" s="91" t="n">
        <x:f>G13*I13</x:f>
        <x:v>0</x:v>
      </x:c>
      <x:c r="K13" s="218" t="n">
        <x:v>2</x:v>
      </x:c>
      <x:c r="L13" s="91" t="n">
        <x:f>G13*K13</x:f>
        <x:v>6</x:v>
      </x:c>
      <x:c r="M13" s="220" t="n">
        <x:v>0</x:v>
      </x:c>
      <x:c r="N13" s="91" t="n">
        <x:f>G13*M13</x:f>
        <x:v>0</x:v>
      </x:c>
      <x:c r="O13" s="220" t="n">
        <x:v>0</x:v>
      </x:c>
      <x:c r="P13" s="91" t="n">
        <x:f>G13*O13</x:f>
        <x:v>0</x:v>
      </x:c>
      <x:c r="Q13" s="91" t="n">
        <x:f>SUM(I13,K13,M13,O13)</x:f>
        <x:v>2</x:v>
      </x:c>
      <x:c r="R13" s="91" t="n">
        <x:f>H13-Q13</x:f>
        <x:v>0</x:v>
      </x:c>
      <x:c r="S13" s="91" t="n">
        <x:f>SUM(J13,L13,N13,P13)</x:f>
        <x:v>6</x:v>
      </x:c>
      <x:c r="T13" s="91" t="n">
        <x:f>G13*H13</x:f>
        <x:v>6</x:v>
      </x:c>
    </x:row>
    <x:row r="14" ht="24" customHeight="1">
      <x:c r="A14" s="78"/>
      <x:c r="B14" s="78" t="n">
        <x:v>2027</x:v>
      </x:c>
      <x:c r="C14" s="78" t="n">
        <x:v>1</x:v>
      </x:c>
      <x:c r="D14" s="78" t="n">
        <x:v>3</x:v>
      </x:c>
      <x:c r="E14" s="78" t="str">
        <x:v>공통</x:v>
      </x:c>
      <x:c r="F14" s="78" t="str">
        <x:v>여행지리</x:v>
      </x:c>
      <x:c r="G14" s="91" t="n">
        <x:f>'기존안 과목내역'!I27</x:f>
        <x:v>3</x:v>
      </x:c>
      <x:c r="H14" s="91" t="n">
        <x:f>'기존안 과목내역'!J27</x:f>
        <x:v>0</x:v>
      </x:c>
      <x:c r="I14" s="220" t="n">
        <x:v>0</x:v>
      </x:c>
      <x:c r="J14" s="91" t="n">
        <x:f>G14*I14</x:f>
        <x:v>0</x:v>
      </x:c>
      <x:c r="K14" s="220" t="n">
        <x:v>0</x:v>
      </x:c>
      <x:c r="L14" s="91" t="n">
        <x:f>G14*K14</x:f>
        <x:v>0</x:v>
      </x:c>
      <x:c r="M14" s="218" t="n">
        <x:v>0</x:v>
      </x:c>
      <x:c r="N14" s="91" t="n">
        <x:f>G14*M14</x:f>
        <x:v>0</x:v>
      </x:c>
      <x:c r="O14" s="220" t="n">
        <x:v>0</x:v>
      </x:c>
      <x:c r="P14" s="91" t="n">
        <x:f>G14*O14</x:f>
        <x:v>0</x:v>
      </x:c>
      <x:c r="Q14" s="91" t="n">
        <x:f>SUM(I14,K14,M14,O14)</x:f>
        <x:v>0</x:v>
      </x:c>
      <x:c r="R14" s="91" t="n">
        <x:f>H14-Q14</x:f>
        <x:v>0</x:v>
      </x:c>
      <x:c r="S14" s="91" t="n">
        <x:f>SUM(J14,L14,N14,P14)</x:f>
        <x:v>0</x:v>
      </x:c>
      <x:c r="T14" s="91" t="n">
        <x:f>G14*H14</x:f>
        <x:v>0</x:v>
      </x:c>
    </x:row>
    <x:row r="15" ht="24" customHeight="1">
      <x:c r="A15" s="78"/>
      <x:c r="B15" s="78" t="n">
        <x:v>2027</x:v>
      </x:c>
      <x:c r="C15" s="78" t="n">
        <x:v>1</x:v>
      </x:c>
      <x:c r="D15" s="78" t="n">
        <x:v>3</x:v>
      </x:c>
      <x:c r="E15" s="78" t="str">
        <x:v>공통</x:v>
      </x:c>
      <x:c r="F15" s="78" t="str">
        <x:v>역사로 탐구하는 현대 세계</x:v>
      </x:c>
      <x:c r="G15" s="91" t="n">
        <x:f>'기존안 과목내역'!I28</x:f>
        <x:v>3</x:v>
      </x:c>
      <x:c r="H15" s="91" t="n">
        <x:f>'기존안 과목내역'!J28</x:f>
        <x:v>4</x:v>
      </x:c>
      <x:c r="I15" s="218" t="n">
        <x:v>4</x:v>
      </x:c>
      <x:c r="J15" s="91" t="n">
        <x:f>G15*I15</x:f>
        <x:v>12</x:v>
      </x:c>
      <x:c r="K15" s="220" t="n">
        <x:v>0</x:v>
      </x:c>
      <x:c r="L15" s="91" t="n">
        <x:f>G15*K15</x:f>
        <x:v>0</x:v>
      </x:c>
      <x:c r="M15" s="220" t="n">
        <x:v>0</x:v>
      </x:c>
      <x:c r="N15" s="91" t="n">
        <x:f>G15*M15</x:f>
        <x:v>0</x:v>
      </x:c>
      <x:c r="O15" s="220" t="n">
        <x:v>0</x:v>
      </x:c>
      <x:c r="P15" s="91" t="n">
        <x:f>G15*O15</x:f>
        <x:v>0</x:v>
      </x:c>
      <x:c r="Q15" s="91" t="n">
        <x:f>SUM(I15,K15,M15,O15)</x:f>
        <x:v>4</x:v>
      </x:c>
      <x:c r="R15" s="91" t="n">
        <x:f>H15-Q15</x:f>
        <x:v>0</x:v>
      </x:c>
      <x:c r="S15" s="91" t="n">
        <x:f>SUM(J15,L15,N15,P15)</x:f>
        <x:v>12</x:v>
      </x:c>
      <x:c r="T15" s="91" t="n">
        <x:f>G15*H15</x:f>
        <x:v>12</x:v>
      </x:c>
    </x:row>
    <x:row r="16" ht="24" customHeight="1">
      <x:c r="A16" s="78"/>
      <x:c r="B16" s="78" t="n">
        <x:v>2027</x:v>
      </x:c>
      <x:c r="C16" s="78" t="n">
        <x:v>1</x:v>
      </x:c>
      <x:c r="D16" s="78" t="n">
        <x:v>3</x:v>
      </x:c>
      <x:c r="E16" s="78" t="str">
        <x:v>공통</x:v>
      </x:c>
      <x:c r="F16" s="78" t="str">
        <x:v>윤리문제 탐구</x:v>
      </x:c>
      <x:c r="G16" s="91" t="n">
        <x:f>'기존안 과목내역'!I29</x:f>
        <x:v>3</x:v>
      </x:c>
      <x:c r="H16" s="91" t="n">
        <x:f>'기존안 과목내역'!J29</x:f>
        <x:v>3</x:v>
      </x:c>
      <x:c r="I16" s="220" t="n">
        <x:v>0</x:v>
      </x:c>
      <x:c r="J16" s="91" t="n">
        <x:f>G16*I16</x:f>
        <x:v>0</x:v>
      </x:c>
      <x:c r="K16" s="220" t="n">
        <x:v>0</x:v>
      </x:c>
      <x:c r="L16" s="91" t="n">
        <x:f>G16*K16</x:f>
        <x:v>0</x:v>
      </x:c>
      <x:c r="M16" s="220" t="n">
        <x:v>0</x:v>
      </x:c>
      <x:c r="N16" s="91" t="n">
        <x:f>G16*M16</x:f>
        <x:v>0</x:v>
      </x:c>
      <x:c r="O16" s="218" t="n">
        <x:v>3</x:v>
      </x:c>
      <x:c r="P16" s="91" t="n">
        <x:f>G16*O16</x:f>
        <x:v>9</x:v>
      </x:c>
      <x:c r="Q16" s="91" t="n">
        <x:f>SUM(I16,K16,M16,O16)</x:f>
        <x:v>3</x:v>
      </x:c>
      <x:c r="R16" s="91" t="n">
        <x:f>H16-Q16</x:f>
        <x:v>0</x:v>
      </x:c>
      <x:c r="S16" s="91" t="n">
        <x:f>SUM(J16,L16,N16,P16)</x:f>
        <x:v>9</x:v>
      </x:c>
      <x:c r="T16" s="91" t="n">
        <x:f>G16*H16</x:f>
        <x:v>9</x:v>
      </x:c>
    </x:row>
    <x:row r="17" ht="24" customHeight="1">
      <x:c r="A17" s="78"/>
      <x:c r="B17" s="78" t="n">
        <x:v>2027</x:v>
      </x:c>
      <x:c r="C17" s="78" t="n">
        <x:v>2</x:v>
      </x:c>
      <x:c r="D17" s="78" t="n">
        <x:v>1</x:v>
      </x:c>
      <x:c r="E17" s="78" t="str">
        <x:v>공통</x:v>
      </x:c>
      <x:c r="F17" s="78" t="str">
        <x:v>통합사회2</x:v>
      </x:c>
      <x:c r="G17" s="91" t="n">
        <x:f>'기존안 과목내역'!I39</x:f>
        <x:v>4</x:v>
      </x:c>
      <x:c r="H17" s="91" t="n">
        <x:f>'기존안 과목내역'!J39</x:f>
        <x:v>12</x:v>
      </x:c>
      <x:c r="I17" s="218" t="n">
        <x:v>3</x:v>
      </x:c>
      <x:c r="J17" s="91" t="n">
        <x:f>G17*I17</x:f>
        <x:v>12</x:v>
      </x:c>
      <x:c r="K17" s="218" t="n">
        <x:v>2</x:v>
      </x:c>
      <x:c r="L17" s="91" t="n">
        <x:f>G17*K17</x:f>
        <x:v>8</x:v>
      </x:c>
      <x:c r="M17" s="218" t="n">
        <x:v>3</x:v>
      </x:c>
      <x:c r="N17" s="91" t="n">
        <x:f>G17*M17</x:f>
        <x:v>12</x:v>
      </x:c>
      <x:c r="O17" s="218" t="n">
        <x:v>4</x:v>
      </x:c>
      <x:c r="P17" s="91" t="n">
        <x:f>G17*O17</x:f>
        <x:v>16</x:v>
      </x:c>
      <x:c r="Q17" s="91" t="n">
        <x:f>SUM(I17,K17,M17,O17)</x:f>
        <x:v>12</x:v>
      </x:c>
      <x:c r="R17" s="91" t="n">
        <x:f>H17-Q17</x:f>
        <x:v>0</x:v>
      </x:c>
      <x:c r="S17" s="91" t="n">
        <x:f>SUM(J17,L17,N17,P17)</x:f>
        <x:v>48</x:v>
      </x:c>
      <x:c r="T17" s="91" t="n">
        <x:f>G17*H17</x:f>
        <x:v>48</x:v>
      </x:c>
    </x:row>
    <x:row r="18" ht="24" customHeight="1">
      <x:c r="A18" s="78"/>
      <x:c r="B18" s="78" t="n">
        <x:v>2027</x:v>
      </x:c>
      <x:c r="C18" s="78" t="n">
        <x:v>2</x:v>
      </x:c>
      <x:c r="D18" s="78" t="n">
        <x:v>3</x:v>
      </x:c>
      <x:c r="E18" s="78" t="str">
        <x:v>공통</x:v>
      </x:c>
      <x:c r="F18" s="78" t="str">
        <x:v>금융과 경제생활</x:v>
      </x:c>
      <x:c r="G18" s="91" t="n">
        <x:f>'기존안 과목내역'!I52</x:f>
        <x:v>3</x:v>
      </x:c>
      <x:c r="H18" s="91" t="n">
        <x:f>'기존안 과목내역'!J52</x:f>
        <x:v>5</x:v>
      </x:c>
      <x:c r="I18" s="220" t="n">
        <x:v>0</x:v>
      </x:c>
      <x:c r="J18" s="91" t="n">
        <x:f>G18*I18</x:f>
        <x:v>0</x:v>
      </x:c>
      <x:c r="K18" s="218" t="n">
        <x:v>5</x:v>
      </x:c>
      <x:c r="L18" s="91" t="n">
        <x:f>G18*K18</x:f>
        <x:v>15</x:v>
      </x:c>
      <x:c r="M18" s="220" t="n">
        <x:v>0</x:v>
      </x:c>
      <x:c r="N18" s="91" t="n">
        <x:f>G18*M18</x:f>
        <x:v>0</x:v>
      </x:c>
      <x:c r="O18" s="220" t="n">
        <x:v>0</x:v>
      </x:c>
      <x:c r="P18" s="91" t="n">
        <x:f>G18*O18</x:f>
        <x:v>0</x:v>
      </x:c>
      <x:c r="Q18" s="91" t="n">
        <x:f>SUM(I18,K18,M18,O18)</x:f>
        <x:v>5</x:v>
      </x:c>
      <x:c r="R18" s="91" t="n">
        <x:f>H18-Q18</x:f>
        <x:v>0</x:v>
      </x:c>
      <x:c r="S18" s="91" t="n">
        <x:f>SUM(J18,L18,N18,P18)</x:f>
        <x:v>15</x:v>
      </x:c>
      <x:c r="T18" s="91" t="n">
        <x:f>G18*H18</x:f>
        <x:v>15</x:v>
      </x:c>
    </x:row>
    <x:row r="19" ht="24" customHeight="1">
      <x:c r="A19" s="78"/>
      <x:c r="B19" s="78" t="n">
        <x:v>2027</x:v>
      </x:c>
      <x:c r="C19" s="78" t="n">
        <x:v>2</x:v>
      </x:c>
      <x:c r="D19" s="78" t="n">
        <x:v>3</x:v>
      </x:c>
      <x:c r="E19" s="78" t="str">
        <x:v>공통</x:v>
      </x:c>
      <x:c r="F19" s="78" t="str">
        <x:v>사회문제 탐구</x:v>
      </x:c>
      <x:c r="G19" s="91" t="n">
        <x:f>'기존안 과목내역'!I53</x:f>
        <x:v>3</x:v>
      </x:c>
      <x:c r="H19" s="91" t="n">
        <x:f>'기존안 과목내역'!J53</x:f>
        <x:v>8</x:v>
      </x:c>
      <x:c r="I19" s="220" t="n">
        <x:v>0</x:v>
      </x:c>
      <x:c r="J19" s="91" t="n">
        <x:f>G19*I19</x:f>
        <x:v>0</x:v>
      </x:c>
      <x:c r="K19" s="218" t="n">
        <x:v>8</x:v>
      </x:c>
      <x:c r="L19" s="91" t="n">
        <x:f>G19*K19</x:f>
        <x:v>24</x:v>
      </x:c>
      <x:c r="M19" s="220" t="n">
        <x:v>0</x:v>
      </x:c>
      <x:c r="N19" s="91" t="n">
        <x:f>G19*M19</x:f>
        <x:v>0</x:v>
      </x:c>
      <x:c r="O19" s="220" t="n">
        <x:v>0</x:v>
      </x:c>
      <x:c r="P19" s="91" t="n">
        <x:f>G19*O19</x:f>
        <x:v>0</x:v>
      </x:c>
      <x:c r="Q19" s="91" t="n">
        <x:f>SUM(I19,K19,M19,O19)</x:f>
        <x:v>8</x:v>
      </x:c>
      <x:c r="R19" s="91" t="n">
        <x:f>H19-Q19</x:f>
        <x:v>0</x:v>
      </x:c>
      <x:c r="S19" s="91" t="n">
        <x:f>SUM(J19,L19,N19,P19)</x:f>
        <x:v>24</x:v>
      </x:c>
      <x:c r="T19" s="91" t="n">
        <x:f>G19*H19</x:f>
        <x:v>24</x:v>
      </x:c>
    </x:row>
    <x:row r="20" ht="24" customHeight="1">
      <x:c r="A20" s="78"/>
      <x:c r="B20" s="78" t="n">
        <x:v>2027</x:v>
      </x:c>
      <x:c r="C20" s="78" t="n">
        <x:v>2</x:v>
      </x:c>
      <x:c r="D20" s="78" t="n">
        <x:v>3</x:v>
      </x:c>
      <x:c r="E20" s="78" t="str">
        <x:v>공통</x:v>
      </x:c>
      <x:c r="F20" s="78" t="str">
        <x:v>여행지리</x:v>
      </x:c>
      <x:c r="G20" s="91" t="n">
        <x:f>'기존안 과목내역'!I54</x:f>
        <x:v>3</x:v>
      </x:c>
      <x:c r="H20" s="91" t="n">
        <x:f>'기존안 과목내역'!J54</x:f>
        <x:v>7</x:v>
      </x:c>
      <x:c r="I20" s="220" t="n">
        <x:v>0</x:v>
      </x:c>
      <x:c r="J20" s="91" t="n">
        <x:f>G20*I20</x:f>
        <x:v>0</x:v>
      </x:c>
      <x:c r="K20" s="220" t="n">
        <x:v>0</x:v>
      </x:c>
      <x:c r="L20" s="91" t="n">
        <x:f>G20*K20</x:f>
        <x:v>0</x:v>
      </x:c>
      <x:c r="M20" s="218" t="n">
        <x:v>7</x:v>
      </x:c>
      <x:c r="N20" s="91" t="n">
        <x:f>G20*M20</x:f>
        <x:v>21</x:v>
      </x:c>
      <x:c r="O20" s="220" t="n">
        <x:v>0</x:v>
      </x:c>
      <x:c r="P20" s="91" t="n">
        <x:f>G20*O20</x:f>
        <x:v>0</x:v>
      </x:c>
      <x:c r="Q20" s="91" t="n">
        <x:f>SUM(I20,K20,M20,O20)</x:f>
        <x:v>7</x:v>
      </x:c>
      <x:c r="R20" s="91" t="n">
        <x:f>H20-Q20</x:f>
        <x:v>0</x:v>
      </x:c>
      <x:c r="S20" s="91" t="n">
        <x:f>SUM(J20,L20,N20,P20)</x:f>
        <x:v>21</x:v>
      </x:c>
      <x:c r="T20" s="91" t="n">
        <x:f>G20*H20</x:f>
        <x:v>21</x:v>
      </x:c>
    </x:row>
    <x:row r="21" ht="24" customHeight="1">
      <x:c r="A21" s="78"/>
      <x:c r="B21" s="78" t="n">
        <x:v>2028</x:v>
      </x:c>
      <x:c r="C21" s="78" t="n">
        <x:v>1</x:v>
      </x:c>
      <x:c r="D21" s="78" t="n">
        <x:v>1</x:v>
      </x:c>
      <x:c r="E21" s="78" t="str">
        <x:v>공통</x:v>
      </x:c>
      <x:c r="F21" s="78" t="str">
        <x:v>통합사회1</x:v>
      </x:c>
      <x:c r="G21" s="91" t="n">
        <x:f>'기존안 과목내역'!I63</x:f>
        <x:v>4</x:v>
      </x:c>
      <x:c r="H21" s="91" t="n">
        <x:f>'기존안 과목내역'!J63</x:f>
        <x:v>12</x:v>
      </x:c>
      <x:c r="I21" s="218" t="n">
        <x:v>0</x:v>
      </x:c>
      <x:c r="J21" s="91" t="n">
        <x:f>G21*I21</x:f>
        <x:v>0</x:v>
      </x:c>
      <x:c r="K21" s="218" t="n">
        <x:v>5</x:v>
      </x:c>
      <x:c r="L21" s="91" t="n">
        <x:f>G21*K21</x:f>
        <x:v>20</x:v>
      </x:c>
      <x:c r="M21" s="218" t="n">
        <x:v>1</x:v>
      </x:c>
      <x:c r="N21" s="91" t="n">
        <x:f>G21*M21</x:f>
        <x:v>4</x:v>
      </x:c>
      <x:c r="O21" s="218" t="n">
        <x:v>6</x:v>
      </x:c>
      <x:c r="P21" s="91" t="n">
        <x:f>G21*O21</x:f>
        <x:v>24</x:v>
      </x:c>
      <x:c r="Q21" s="91" t="n">
        <x:f>SUM(I21,K21,M21,O21)</x:f>
        <x:v>12</x:v>
      </x:c>
      <x:c r="R21" s="91" t="n">
        <x:f>H21-Q21</x:f>
        <x:v>0</x:v>
      </x:c>
      <x:c r="S21" s="91" t="n">
        <x:f>SUM(J21,L21,N21,P21)</x:f>
        <x:v>48</x:v>
      </x:c>
      <x:c r="T21" s="91" t="n">
        <x:f>G21*H21</x:f>
        <x:v>48</x:v>
      </x:c>
    </x:row>
    <x:row r="22" ht="24" customHeight="1">
      <x:c r="A22" s="78"/>
      <x:c r="B22" s="78" t="n">
        <x:v>2028</x:v>
      </x:c>
      <x:c r="C22" s="78" t="n">
        <x:v>1</x:v>
      </x:c>
      <x:c r="D22" s="78" t="n">
        <x:v>3</x:v>
      </x:c>
      <x:c r="E22" s="78" t="str">
        <x:v>공통</x:v>
      </x:c>
      <x:c r="F22" s="78" t="str">
        <x:v>기후변화와 지속가능한 세계</x:v>
      </x:c>
      <x:c r="G22" s="91" t="n">
        <x:f>'기존안 과목내역'!I78</x:f>
        <x:v>3</x:v>
      </x:c>
      <x:c r="H22" s="91" t="n">
        <x:f>'기존안 과목내역'!J78</x:f>
        <x:v>2</x:v>
      </x:c>
      <x:c r="I22" s="220" t="n">
        <x:v>0</x:v>
      </x:c>
      <x:c r="J22" s="91" t="n">
        <x:f>G22*I22</x:f>
        <x:v>0</x:v>
      </x:c>
      <x:c r="K22" s="220" t="n">
        <x:v>0</x:v>
      </x:c>
      <x:c r="L22" s="91" t="n">
        <x:f>G22*K22</x:f>
        <x:v>0</x:v>
      </x:c>
      <x:c r="M22" s="218" t="n">
        <x:v>2</x:v>
      </x:c>
      <x:c r="N22" s="91" t="n">
        <x:f>G22*M22</x:f>
        <x:v>6</x:v>
      </x:c>
      <x:c r="O22" s="220" t="n">
        <x:v>0</x:v>
      </x:c>
      <x:c r="P22" s="91" t="n">
        <x:f>G22*O22</x:f>
        <x:v>0</x:v>
      </x:c>
      <x:c r="Q22" s="91" t="n">
        <x:f>SUM(I22,K22,M22,O22)</x:f>
        <x:v>2</x:v>
      </x:c>
      <x:c r="R22" s="91" t="n">
        <x:f>H22-Q22</x:f>
        <x:v>0</x:v>
      </x:c>
      <x:c r="S22" s="91" t="n">
        <x:f>SUM(J22,L22,N22,P22)</x:f>
        <x:v>6</x:v>
      </x:c>
      <x:c r="T22" s="91" t="n">
        <x:f>G22*H22</x:f>
        <x:v>6</x:v>
      </x:c>
    </x:row>
    <x:row r="23" ht="24" customHeight="1">
      <x:c r="A23" s="78"/>
      <x:c r="B23" s="78" t="n">
        <x:v>2028</x:v>
      </x:c>
      <x:c r="C23" s="78" t="n">
        <x:v>1</x:v>
      </x:c>
      <x:c r="D23" s="78" t="n">
        <x:v>3</x:v>
      </x:c>
      <x:c r="E23" s="78" t="str">
        <x:v>공통</x:v>
      </x:c>
      <x:c r="F23" s="78" t="str">
        <x:v>사회문제 탐구</x:v>
      </x:c>
      <x:c r="G23" s="91" t="n">
        <x:f>'기존안 과목내역'!I79</x:f>
        <x:v>3</x:v>
      </x:c>
      <x:c r="H23" s="91" t="n">
        <x:f>'기존안 과목내역'!J79</x:f>
        <x:v>2</x:v>
      </x:c>
      <x:c r="I23" s="220" t="n">
        <x:v>0</x:v>
      </x:c>
      <x:c r="J23" s="91" t="n">
        <x:f>G23*I23</x:f>
        <x:v>0</x:v>
      </x:c>
      <x:c r="K23" s="218" t="n">
        <x:v>2</x:v>
      </x:c>
      <x:c r="L23" s="91" t="n">
        <x:f>G23*K23</x:f>
        <x:v>6</x:v>
      </x:c>
      <x:c r="M23" s="220" t="n">
        <x:v>0</x:v>
      </x:c>
      <x:c r="N23" s="91" t="n">
        <x:f>G23*M23</x:f>
        <x:v>0</x:v>
      </x:c>
      <x:c r="O23" s="220" t="n">
        <x:v>0</x:v>
      </x:c>
      <x:c r="P23" s="91" t="n">
        <x:f>G23*O23</x:f>
        <x:v>0</x:v>
      </x:c>
      <x:c r="Q23" s="91" t="n">
        <x:f>SUM(I23,K23,M23,O23)</x:f>
        <x:v>2</x:v>
      </x:c>
      <x:c r="R23" s="91" t="n">
        <x:f>H23-Q23</x:f>
        <x:v>0</x:v>
      </x:c>
      <x:c r="S23" s="91" t="n">
        <x:f>SUM(J23,L23,N23,P23)</x:f>
        <x:v>6</x:v>
      </x:c>
      <x:c r="T23" s="91" t="n">
        <x:f>G23*H23</x:f>
        <x:v>6</x:v>
      </x:c>
    </x:row>
    <x:row r="24" ht="24" customHeight="1">
      <x:c r="A24" s="78"/>
      <x:c r="B24" s="78" t="n">
        <x:v>2028</x:v>
      </x:c>
      <x:c r="C24" s="78" t="n">
        <x:v>1</x:v>
      </x:c>
      <x:c r="D24" s="78" t="n">
        <x:v>3</x:v>
      </x:c>
      <x:c r="E24" s="78" t="str">
        <x:v>공통</x:v>
      </x:c>
      <x:c r="F24" s="78" t="str">
        <x:v>역사로 탐구하는 현대 세계</x:v>
      </x:c>
      <x:c r="G24" s="91" t="n">
        <x:f>'기존안 과목내역'!I80</x:f>
        <x:v>3</x:v>
      </x:c>
      <x:c r="H24" s="91" t="n">
        <x:f>'기존안 과목내역'!J80</x:f>
        <x:v>4</x:v>
      </x:c>
      <x:c r="I24" s="218" t="n">
        <x:v>4</x:v>
      </x:c>
      <x:c r="J24" s="91" t="n">
        <x:f>G24*I24</x:f>
        <x:v>12</x:v>
      </x:c>
      <x:c r="K24" s="220" t="n">
        <x:v>0</x:v>
      </x:c>
      <x:c r="L24" s="91" t="n">
        <x:f>G24*K24</x:f>
        <x:v>0</x:v>
      </x:c>
      <x:c r="M24" s="220" t="n">
        <x:v>0</x:v>
      </x:c>
      <x:c r="N24" s="91" t="n">
        <x:f>G24*M24</x:f>
        <x:v>0</x:v>
      </x:c>
      <x:c r="O24" s="220" t="n">
        <x:v>0</x:v>
      </x:c>
      <x:c r="P24" s="91" t="n">
        <x:f>G24*O24</x:f>
        <x:v>0</x:v>
      </x:c>
      <x:c r="Q24" s="91" t="n">
        <x:f>SUM(I24,K24,M24,O24)</x:f>
        <x:v>4</x:v>
      </x:c>
      <x:c r="R24" s="91" t="n">
        <x:f>H24-Q24</x:f>
        <x:v>0</x:v>
      </x:c>
      <x:c r="S24" s="91" t="n">
        <x:f>SUM(J24,L24,N24,P24)</x:f>
        <x:v>12</x:v>
      </x:c>
      <x:c r="T24" s="91" t="n">
        <x:f>G24*H24</x:f>
        <x:v>12</x:v>
      </x:c>
    </x:row>
    <x:row r="25" ht="24" customHeight="1">
      <x:c r="A25" s="78"/>
      <x:c r="B25" s="78" t="n">
        <x:v>2028</x:v>
      </x:c>
      <x:c r="C25" s="78" t="n">
        <x:v>2</x:v>
      </x:c>
      <x:c r="D25" s="78" t="n">
        <x:v>1</x:v>
      </x:c>
      <x:c r="E25" s="78" t="str">
        <x:v>공통</x:v>
      </x:c>
      <x:c r="F25" s="78" t="str">
        <x:v>통합사회2</x:v>
      </x:c>
      <x:c r="G25" s="91" t="n">
        <x:f>'기존안 과목내역'!I87</x:f>
        <x:v>4</x:v>
      </x:c>
      <x:c r="H25" s="91" t="n">
        <x:f>'기존안 과목내역'!J87</x:f>
        <x:v>12</x:v>
      </x:c>
      <x:c r="I25" s="218" t="n">
        <x:v>2</x:v>
      </x:c>
      <x:c r="J25" s="91" t="n">
        <x:f>G25*I25</x:f>
        <x:v>8</x:v>
      </x:c>
      <x:c r="K25" s="218" t="n">
        <x:v>5</x:v>
      </x:c>
      <x:c r="L25" s="91" t="n">
        <x:f>G25*K25</x:f>
        <x:v>20</x:v>
      </x:c>
      <x:c r="M25" s="218" t="n">
        <x:v>0</x:v>
      </x:c>
      <x:c r="N25" s="91" t="n">
        <x:f>G25*M25</x:f>
        <x:v>0</x:v>
      </x:c>
      <x:c r="O25" s="218" t="n">
        <x:v>5</x:v>
      </x:c>
      <x:c r="P25" s="91" t="n">
        <x:f>G25*O25</x:f>
        <x:v>20</x:v>
      </x:c>
      <x:c r="Q25" s="91" t="n">
        <x:f>SUM(I25,K25,M25,O25)</x:f>
        <x:v>12</x:v>
      </x:c>
      <x:c r="R25" s="91" t="n">
        <x:f>H25-Q25</x:f>
        <x:v>0</x:v>
      </x:c>
      <x:c r="S25" s="91" t="n">
        <x:f>SUM(J25,L25,N25,P25)</x:f>
        <x:v>48</x:v>
      </x:c>
      <x:c r="T25" s="91" t="n">
        <x:f>G25*H25</x:f>
        <x:v>48</x:v>
      </x:c>
    </x:row>
    <x:row r="26" ht="24" customHeight="1">
      <x:c r="A26" s="78"/>
      <x:c r="B26" s="78" t="n">
        <x:v>2028</x:v>
      </x:c>
      <x:c r="C26" s="78" t="n">
        <x:v>2</x:v>
      </x:c>
      <x:c r="D26" s="78" t="n">
        <x:v>3</x:v>
      </x:c>
      <x:c r="E26" s="78" t="str">
        <x:v>공통</x:v>
      </x:c>
      <x:c r="F26" s="78" t="str">
        <x:v>금융과 경제생활</x:v>
      </x:c>
      <x:c r="G26" s="91" t="n">
        <x:f>'기존안 과목내역'!I100</x:f>
        <x:v>3</x:v>
      </x:c>
      <x:c r="H26" s="91" t="n">
        <x:f>'기존안 과목내역'!J100</x:f>
        <x:v>6</x:v>
      </x:c>
      <x:c r="I26" s="220" t="n">
        <x:v>0</x:v>
      </x:c>
      <x:c r="J26" s="91" t="n">
        <x:f>G26*I26</x:f>
        <x:v>0</x:v>
      </x:c>
      <x:c r="K26" s="218" t="n">
        <x:v>6</x:v>
      </x:c>
      <x:c r="L26" s="91" t="n">
        <x:f>G26*K26</x:f>
        <x:v>18</x:v>
      </x:c>
      <x:c r="M26" s="220" t="n">
        <x:v>0</x:v>
      </x:c>
      <x:c r="N26" s="91" t="n">
        <x:f>G26*M26</x:f>
        <x:v>0</x:v>
      </x:c>
      <x:c r="O26" s="220" t="n">
        <x:v>0</x:v>
      </x:c>
      <x:c r="P26" s="91" t="n">
        <x:f>G26*O26</x:f>
        <x:v>0</x:v>
      </x:c>
      <x:c r="Q26" s="91" t="n">
        <x:f>SUM(I26,K26,M26,O26)</x:f>
        <x:v>6</x:v>
      </x:c>
      <x:c r="R26" s="91" t="n">
        <x:f>H26-Q26</x:f>
        <x:v>0</x:v>
      </x:c>
      <x:c r="S26" s="91" t="n">
        <x:f>SUM(J26,L26,N26,P26)</x:f>
        <x:v>18</x:v>
      </x:c>
      <x:c r="T26" s="91" t="n">
        <x:f>G26*H26</x:f>
        <x:v>18</x:v>
      </x:c>
    </x:row>
    <x:row r="27" ht="24" customHeight="1">
      <x:c r="A27" s="78"/>
      <x:c r="B27" s="78" t="n">
        <x:v>2028</x:v>
      </x:c>
      <x:c r="C27" s="78" t="n">
        <x:v>2</x:v>
      </x:c>
      <x:c r="D27" s="78" t="n">
        <x:v>3</x:v>
      </x:c>
      <x:c r="E27" s="78" t="str">
        <x:v>공통</x:v>
      </x:c>
      <x:c r="F27" s="78" t="str">
        <x:v>여행지리</x:v>
      </x:c>
      <x:c r="G27" s="91" t="n">
        <x:f>'기존안 과목내역'!I101</x:f>
        <x:v>3</x:v>
      </x:c>
      <x:c r="H27" s="91" t="n">
        <x:f>'기존안 과목내역'!J101</x:f>
        <x:v>9</x:v>
      </x:c>
      <x:c r="I27" s="220" t="n">
        <x:v>0</x:v>
      </x:c>
      <x:c r="J27" s="91" t="n">
        <x:f>G27*I27</x:f>
        <x:v>0</x:v>
      </x:c>
      <x:c r="K27" s="220" t="n">
        <x:v>0</x:v>
      </x:c>
      <x:c r="L27" s="91" t="n">
        <x:f>G27*K27</x:f>
        <x:v>0</x:v>
      </x:c>
      <x:c r="M27" s="218" t="n">
        <x:v>9</x:v>
      </x:c>
      <x:c r="N27" s="91" t="n">
        <x:f>G27*M27</x:f>
        <x:v>27</x:v>
      </x:c>
      <x:c r="O27" s="220" t="n">
        <x:v>0</x:v>
      </x:c>
      <x:c r="P27" s="91" t="n">
        <x:f>G27*O27</x:f>
        <x:v>0</x:v>
      </x:c>
      <x:c r="Q27" s="91" t="n">
        <x:f>SUM(I27,K27,M27,O27)</x:f>
        <x:v>9</x:v>
      </x:c>
      <x:c r="R27" s="91" t="n">
        <x:f>H27-Q27</x:f>
        <x:v>0</x:v>
      </x:c>
      <x:c r="S27" s="91" t="n">
        <x:f>SUM(J27,L27,N27,P27)</x:f>
        <x:v>27</x:v>
      </x:c>
      <x:c r="T27" s="91" t="n">
        <x:f>G27*H27</x:f>
        <x:v>27</x:v>
      </x:c>
    </x:row>
    <x:row r="28" ht="24" customHeight="1">
      <x:c r="A28" s="78"/>
      <x:c r="B28" s="78" t="n">
        <x:v>2028</x:v>
      </x:c>
      <x:c r="C28" s="78" t="n">
        <x:v>2</x:v>
      </x:c>
      <x:c r="D28" s="78" t="n">
        <x:v>3</x:v>
      </x:c>
      <x:c r="E28" s="78" t="str">
        <x:v>공통</x:v>
      </x:c>
      <x:c r="F28" s="78" t="str">
        <x:v>윤리문제 탐구</x:v>
      </x:c>
      <x:c r="G28" s="91" t="n">
        <x:f>'기존안 과목내역'!I102</x:f>
        <x:v>3</x:v>
      </x:c>
      <x:c r="H28" s="91" t="n">
        <x:f>'기존안 과목내역'!J102</x:f>
        <x:v>4</x:v>
      </x:c>
      <x:c r="I28" s="220" t="n">
        <x:v>0</x:v>
      </x:c>
      <x:c r="J28" s="91" t="n">
        <x:f>G28*I28</x:f>
        <x:v>0</x:v>
      </x:c>
      <x:c r="K28" s="220" t="n">
        <x:v>0</x:v>
      </x:c>
      <x:c r="L28" s="91" t="n">
        <x:f>G28*K28</x:f>
        <x:v>0</x:v>
      </x:c>
      <x:c r="M28" s="220" t="n">
        <x:v>0</x:v>
      </x:c>
      <x:c r="N28" s="91" t="n">
        <x:f>G28*M28</x:f>
        <x:v>0</x:v>
      </x:c>
      <x:c r="O28" s="218" t="n">
        <x:v>4</x:v>
      </x:c>
      <x:c r="P28" s="91" t="n">
        <x:f>G28*O28</x:f>
        <x:v>12</x:v>
      </x:c>
      <x:c r="Q28" s="91" t="n">
        <x:f>SUM(I28,K28,M28,O28)</x:f>
        <x:v>4</x:v>
      </x:c>
      <x:c r="R28" s="91" t="n">
        <x:f>H28-Q28</x:f>
        <x:v>0</x:v>
      </x:c>
      <x:c r="S28" s="91" t="n">
        <x:f>SUM(J28,L28,N28,P28)</x:f>
        <x:v>12</x:v>
      </x:c>
      <x:c r="T28" s="91" t="n">
        <x:f>G28*H28</x:f>
        <x:v>12</x:v>
      </x:c>
    </x:row>
    <x:row r="29" ht="24" customHeight="1">
      <x:c r="A29" s="78"/>
      <x:c r="B29" s="78" t="n">
        <x:v>2029</x:v>
      </x:c>
      <x:c r="C29" s="78" t="n">
        <x:v>1</x:v>
      </x:c>
      <x:c r="D29" s="78" t="n">
        <x:v>1</x:v>
      </x:c>
      <x:c r="E29" s="78" t="str">
        <x:v>기존안</x:v>
      </x:c>
      <x:c r="F29" s="78" t="str">
        <x:v>통합사회1</x:v>
      </x:c>
      <x:c r="G29" s="91" t="n">
        <x:f>'기존안 과목내역'!I107</x:f>
        <x:v>4</x:v>
      </x:c>
      <x:c r="H29" s="91" t="n">
        <x:f>'기존안 과목내역'!J107</x:f>
        <x:v>12</x:v>
      </x:c>
      <x:c r="I29" s="218" t="n">
        <x:v>0</x:v>
      </x:c>
      <x:c r="J29" s="91" t="n">
        <x:f>G29*I29</x:f>
        <x:v>0</x:v>
      </x:c>
      <x:c r="K29" s="218" t="n">
        <x:v>5</x:v>
      </x:c>
      <x:c r="L29" s="91" t="n">
        <x:f>G29*K29</x:f>
        <x:v>20</x:v>
      </x:c>
      <x:c r="M29" s="218" t="n">
        <x:v>1</x:v>
      </x:c>
      <x:c r="N29" s="91" t="n">
        <x:f>G29*M29</x:f>
        <x:v>4</x:v>
      </x:c>
      <x:c r="O29" s="218" t="n">
        <x:v>6</x:v>
      </x:c>
      <x:c r="P29" s="91" t="n">
        <x:f>G29*O29</x:f>
        <x:v>24</x:v>
      </x:c>
      <x:c r="Q29" s="91" t="n">
        <x:f>SUM(I29,K29,M29,O29)</x:f>
        <x:v>12</x:v>
      </x:c>
      <x:c r="R29" s="91" t="n">
        <x:f>H29-Q29</x:f>
        <x:v>0</x:v>
      </x:c>
      <x:c r="S29" s="91" t="n">
        <x:f>SUM(J29,L29,N29,P29)</x:f>
        <x:v>48</x:v>
      </x:c>
      <x:c r="T29" s="91" t="n">
        <x:f>G29*H29</x:f>
        <x:v>48</x:v>
      </x:c>
    </x:row>
    <x:row r="30" ht="24" customHeight="1">
      <x:c r="A30" s="78"/>
      <x:c r="B30" s="78" t="n">
        <x:v>2029</x:v>
      </x:c>
      <x:c r="C30" s="78" t="n">
        <x:v>1</x:v>
      </x:c>
      <x:c r="D30" s="78" t="n">
        <x:v>3</x:v>
      </x:c>
      <x:c r="E30" s="78" t="str">
        <x:v>기존안</x:v>
      </x:c>
      <x:c r="F30" s="78" t="str">
        <x:v>역사로 탐구하는 현대 세계</x:v>
      </x:c>
      <x:c r="G30" s="91" t="n">
        <x:f>'기존안 과목내역'!I122</x:f>
        <x:v>3</x:v>
      </x:c>
      <x:c r="H30" s="91" t="n">
        <x:f>'기존안 과목내역'!J122</x:f>
        <x:v>5</x:v>
      </x:c>
      <x:c r="I30" s="218" t="n">
        <x:v>5</x:v>
      </x:c>
      <x:c r="J30" s="91" t="n">
        <x:f>G30*I30</x:f>
        <x:v>15</x:v>
      </x:c>
      <x:c r="K30" s="220" t="n">
        <x:v>0</x:v>
      </x:c>
      <x:c r="L30" s="91" t="n">
        <x:f>G30*K30</x:f>
        <x:v>0</x:v>
      </x:c>
      <x:c r="M30" s="220" t="n">
        <x:v>0</x:v>
      </x:c>
      <x:c r="N30" s="91" t="n">
        <x:f>G30*M30</x:f>
        <x:v>0</x:v>
      </x:c>
      <x:c r="O30" s="220" t="n">
        <x:v>0</x:v>
      </x:c>
      <x:c r="P30" s="91" t="n">
        <x:f>G30*O30</x:f>
        <x:v>0</x:v>
      </x:c>
      <x:c r="Q30" s="91" t="n">
        <x:f>SUM(I30,K30,M30,O30)</x:f>
        <x:v>5</x:v>
      </x:c>
      <x:c r="R30" s="91" t="n">
        <x:f>H30-Q30</x:f>
        <x:v>0</x:v>
      </x:c>
      <x:c r="S30" s="91" t="n">
        <x:f>SUM(J30,L30,N30,P30)</x:f>
        <x:v>15</x:v>
      </x:c>
      <x:c r="T30" s="91" t="n">
        <x:f>G30*H30</x:f>
        <x:v>15</x:v>
      </x:c>
    </x:row>
    <x:row r="31" ht="24" customHeight="1">
      <x:c r="A31" s="78"/>
      <x:c r="B31" s="93" t="n">
        <x:v>2029</x:v>
      </x:c>
      <x:c r="C31" s="93" t="n">
        <x:v>1</x:v>
      </x:c>
      <x:c r="D31" s="93" t="n">
        <x:v>1</x:v>
      </x:c>
      <x:c r="E31" s="93" t="str">
        <x:v>변경안</x:v>
      </x:c>
      <x:c r="F31" s="93" t="str">
        <x:v>통합사회1</x:v>
      </x:c>
      <x:c r="G31" s="91" t="n">
        <x:f>'기존안 과목내역'!I107</x:f>
        <x:v>4</x:v>
      </x:c>
      <x:c r="H31" s="91" t="n">
        <x:f>'기존안 과목내역'!J107</x:f>
        <x:v>12</x:v>
      </x:c>
      <x:c r="I31" s="218" t="n">
        <x:v>0</x:v>
      </x:c>
      <x:c r="J31" s="91" t="n">
        <x:f>G31*I31</x:f>
        <x:v>0</x:v>
      </x:c>
      <x:c r="K31" s="218" t="n">
        <x:v>5</x:v>
      </x:c>
      <x:c r="L31" s="91" t="n">
        <x:f>G31*K31</x:f>
        <x:v>20</x:v>
      </x:c>
      <x:c r="M31" s="218" t="n">
        <x:v>2</x:v>
      </x:c>
      <x:c r="N31" s="91" t="n">
        <x:f>G31*M31</x:f>
        <x:v>8</x:v>
      </x:c>
      <x:c r="O31" s="218" t="n">
        <x:v>5</x:v>
      </x:c>
      <x:c r="P31" s="91" t="n">
        <x:f>G31*O31</x:f>
        <x:v>20</x:v>
      </x:c>
      <x:c r="Q31" s="91" t="n">
        <x:f>SUM(I31,K31,M31,O31)</x:f>
        <x:v>12</x:v>
      </x:c>
      <x:c r="R31" s="91" t="n">
        <x:f>H31-Q31</x:f>
        <x:v>0</x:v>
      </x:c>
      <x:c r="S31" s="91" t="n">
        <x:f>SUM(J31,L31,N31,P31)</x:f>
        <x:v>48</x:v>
      </x:c>
      <x:c r="T31" s="91" t="n">
        <x:f>G31*H31</x:f>
        <x:v>48</x:v>
      </x:c>
    </x:row>
    <x:row r="32" ht="24" customHeight="1">
      <x:c r="A32" s="78"/>
      <x:c r="B32" s="93" t="n">
        <x:v>2029</x:v>
      </x:c>
      <x:c r="C32" s="93" t="n">
        <x:v>1</x:v>
      </x:c>
      <x:c r="D32" s="93" t="n">
        <x:v>3</x:v>
      </x:c>
      <x:c r="E32" s="93" t="str">
        <x:v>변경안</x:v>
      </x:c>
      <x:c r="F32" s="93" t="str">
        <x:v>역사로 탐구하는 현대 세계</x:v>
      </x:c>
      <x:c r="G32" s="91" t="n">
        <x:f>'기존안 과목내역'!I122</x:f>
        <x:v>3</x:v>
      </x:c>
      <x:c r="H32" s="91" t="n">
        <x:f>'선택군비교'!H21</x:f>
        <x:v>5</x:v>
      </x:c>
      <x:c r="I32" s="218" t="n">
        <x:v>5</x:v>
      </x:c>
      <x:c r="J32" s="91" t="n">
        <x:f>G32*I32</x:f>
        <x:v>15</x:v>
      </x:c>
      <x:c r="K32" s="220" t="n">
        <x:v>0</x:v>
      </x:c>
      <x:c r="L32" s="91" t="n">
        <x:f>G32*K32</x:f>
        <x:v>0</x:v>
      </x:c>
      <x:c r="M32" s="220" t="n">
        <x:v>0</x:v>
      </x:c>
      <x:c r="N32" s="91" t="n">
        <x:f>G32*M32</x:f>
        <x:v>0</x:v>
      </x:c>
      <x:c r="O32" s="220" t="n">
        <x:v>0</x:v>
      </x:c>
      <x:c r="P32" s="91" t="n">
        <x:f>G32*O32</x:f>
        <x:v>0</x:v>
      </x:c>
      <x:c r="Q32" s="91" t="n">
        <x:f>SUM(I32,K32,M32,O32)</x:f>
        <x:v>5</x:v>
      </x:c>
      <x:c r="R32" s="91" t="n">
        <x:f>H32-Q32</x:f>
        <x:v>0</x:v>
      </x:c>
      <x:c r="S32" s="91" t="n">
        <x:f>SUM(J32,L32,N32,P32)</x:f>
        <x:v>15</x:v>
      </x:c>
      <x:c r="T32" s="91" t="n">
        <x:f>G32*H32</x:f>
        <x:v>15</x:v>
      </x:c>
    </x:row>
    <x:row r="33" ht="24" customHeight="1">
      <x:c r="A33" s="78"/>
      <x:c r="B33" s="78" t="n">
        <x:v>2029</x:v>
      </x:c>
      <x:c r="C33" s="78" t="n">
        <x:v>2</x:v>
      </x:c>
      <x:c r="D33" s="78" t="n">
        <x:v>1</x:v>
      </x:c>
      <x:c r="E33" s="78" t="str">
        <x:v>공통</x:v>
      </x:c>
      <x:c r="F33" s="78" t="str">
        <x:v>통합사회2</x:v>
      </x:c>
      <x:c r="G33" s="91" t="n">
        <x:f>'기존안 과목내역'!I128</x:f>
        <x:v>4</x:v>
      </x:c>
      <x:c r="H33" s="91" t="n">
        <x:f>'기존안 과목내역'!J128</x:f>
        <x:v>12</x:v>
      </x:c>
      <x:c r="I33" s="218" t="n">
        <x:v>2</x:v>
      </x:c>
      <x:c r="J33" s="91" t="n">
        <x:f>G33*I33</x:f>
        <x:v>8</x:v>
      </x:c>
      <x:c r="K33" s="218" t="n">
        <x:v>3</x:v>
      </x:c>
      <x:c r="L33" s="91" t="n">
        <x:f>G33*K33</x:f>
        <x:v>12</x:v>
      </x:c>
      <x:c r="M33" s="218" t="n">
        <x:v>1</x:v>
      </x:c>
      <x:c r="N33" s="91" t="n">
        <x:f>G33*M33</x:f>
        <x:v>4</x:v>
      </x:c>
      <x:c r="O33" s="218" t="n">
        <x:v>6</x:v>
      </x:c>
      <x:c r="P33" s="91" t="n">
        <x:f>G33*O33</x:f>
        <x:v>24</x:v>
      </x:c>
      <x:c r="Q33" s="91" t="n">
        <x:f>SUM(I33,K33,M33,O33)</x:f>
        <x:v>12</x:v>
      </x:c>
      <x:c r="R33" s="91" t="n">
        <x:f>H33-Q33</x:f>
        <x:v>0</x:v>
      </x:c>
      <x:c r="S33" s="91" t="n">
        <x:f>SUM(J33,L33,N33,P33)</x:f>
        <x:v>48</x:v>
      </x:c>
      <x:c r="T33" s="91" t="n">
        <x:f>G33*H33</x:f>
        <x:v>48</x:v>
      </x:c>
    </x:row>
    <x:row r="34" ht="24" customHeight="1">
      <x:c r="A34" s="78"/>
      <x:c r="B34" s="78" t="n">
        <x:v>2029</x:v>
      </x:c>
      <x:c r="C34" s="78" t="n">
        <x:v>2</x:v>
      </x:c>
      <x:c r="D34" s="78" t="n">
        <x:v>3</x:v>
      </x:c>
      <x:c r="E34" s="78" t="str">
        <x:v>공통</x:v>
      </x:c>
      <x:c r="F34" s="78" t="str">
        <x:v>사회문제 탐구</x:v>
      </x:c>
      <x:c r="G34" s="91" t="n">
        <x:f>'기존안 과목내역'!I141</x:f>
        <x:v>3</x:v>
      </x:c>
      <x:c r="H34" s="91" t="n">
        <x:f>'기존안 과목내역'!J141</x:f>
        <x:v>9</x:v>
      </x:c>
      <x:c r="I34" s="220" t="n">
        <x:v>0</x:v>
      </x:c>
      <x:c r="J34" s="91" t="n">
        <x:f>G34*I34</x:f>
        <x:v>0</x:v>
      </x:c>
      <x:c r="K34" s="218" t="n">
        <x:v>9</x:v>
      </x:c>
      <x:c r="L34" s="91" t="n">
        <x:f>G34*K34</x:f>
        <x:v>27</x:v>
      </x:c>
      <x:c r="M34" s="220" t="n">
        <x:v>0</x:v>
      </x:c>
      <x:c r="N34" s="91" t="n">
        <x:f>G34*M34</x:f>
        <x:v>0</x:v>
      </x:c>
      <x:c r="O34" s="220" t="n">
        <x:v>0</x:v>
      </x:c>
      <x:c r="P34" s="91" t="n">
        <x:f>G34*O34</x:f>
        <x:v>0</x:v>
      </x:c>
      <x:c r="Q34" s="91" t="n">
        <x:f>SUM(I34,K34,M34,O34)</x:f>
        <x:v>9</x:v>
      </x:c>
      <x:c r="R34" s="91" t="n">
        <x:f>H34-Q34</x:f>
        <x:v>0</x:v>
      </x:c>
      <x:c r="S34" s="91" t="n">
        <x:f>SUM(J34,L34,N34,P34)</x:f>
        <x:v>27</x:v>
      </x:c>
      <x:c r="T34" s="91" t="n">
        <x:f>G34*H34</x:f>
        <x:v>27</x:v>
      </x:c>
    </x:row>
    <x:row r="35" ht="24" customHeight="1">
      <x:c r="A35" s="78"/>
      <x:c r="B35" s="78" t="n">
        <x:v>2029</x:v>
      </x:c>
      <x:c r="C35" s="78" t="n">
        <x:v>2</x:v>
      </x:c>
      <x:c r="D35" s="78" t="n">
        <x:v>3</x:v>
      </x:c>
      <x:c r="E35" s="78" t="str">
        <x:v>공통</x:v>
      </x:c>
      <x:c r="F35" s="78" t="str">
        <x:v>여행지리</x:v>
      </x:c>
      <x:c r="G35" s="91" t="n">
        <x:f>'기존안 과목내역'!I142</x:f>
        <x:v>3</x:v>
      </x:c>
      <x:c r="H35" s="91" t="n">
        <x:f>'기존안 과목내역'!J142</x:f>
        <x:v>7</x:v>
      </x:c>
      <x:c r="I35" s="220" t="n">
        <x:v>0</x:v>
      </x:c>
      <x:c r="J35" s="91" t="n">
        <x:f>G35*I35</x:f>
        <x:v>0</x:v>
      </x:c>
      <x:c r="K35" s="220" t="n">
        <x:v>0</x:v>
      </x:c>
      <x:c r="L35" s="91" t="n">
        <x:f>G35*K35</x:f>
        <x:v>0</x:v>
      </x:c>
      <x:c r="M35" s="218" t="n">
        <x:v>7</x:v>
      </x:c>
      <x:c r="N35" s="91" t="n">
        <x:f>G35*M35</x:f>
        <x:v>21</x:v>
      </x:c>
      <x:c r="O35" s="220" t="n">
        <x:v>0</x:v>
      </x:c>
      <x:c r="P35" s="91" t="n">
        <x:f>G35*O35</x:f>
        <x:v>0</x:v>
      </x:c>
      <x:c r="Q35" s="91" t="n">
        <x:f>SUM(I35,K35,M35,O35)</x:f>
        <x:v>7</x:v>
      </x:c>
      <x:c r="R35" s="91" t="n">
        <x:f>H35-Q35</x:f>
        <x:v>0</x:v>
      </x:c>
      <x:c r="S35" s="91" t="n">
        <x:f>SUM(J35,L35,N35,P35)</x:f>
        <x:v>21</x:v>
      </x:c>
      <x:c r="T35" s="91" t="n">
        <x:f>G35*H35</x:f>
        <x:v>21</x:v>
      </x:c>
    </x:row>
    <x:row r="36" ht="24" customHeight="1">
      <x:c r="A36" s="78"/>
      <x:c r="B36" s="78" t="n">
        <x:v>2029</x:v>
      </x:c>
      <x:c r="C36" s="78" t="n">
        <x:v>2</x:v>
      </x:c>
      <x:c r="D36" s="78" t="n">
        <x:v>3</x:v>
      </x:c>
      <x:c r="E36" s="78" t="str">
        <x:v>공통</x:v>
      </x:c>
      <x:c r="F36" s="78" t="str">
        <x:v>윤리문제 탐구</x:v>
      </x:c>
      <x:c r="G36" s="91" t="n">
        <x:f>'기존안 과목내역'!I143</x:f>
        <x:v>3</x:v>
      </x:c>
      <x:c r="H36" s="91" t="n">
        <x:f>'기존안 과목내역'!J143</x:f>
        <x:v>4</x:v>
      </x:c>
      <x:c r="I36" s="220" t="n">
        <x:v>0</x:v>
      </x:c>
      <x:c r="J36" s="91" t="n">
        <x:f>G36*I36</x:f>
        <x:v>0</x:v>
      </x:c>
      <x:c r="K36" s="220" t="n">
        <x:v>0</x:v>
      </x:c>
      <x:c r="L36" s="91" t="n">
        <x:f>G36*K36</x:f>
        <x:v>0</x:v>
      </x:c>
      <x:c r="M36" s="220" t="n">
        <x:v>0</x:v>
      </x:c>
      <x:c r="N36" s="91" t="n">
        <x:f>G36*M36</x:f>
        <x:v>0</x:v>
      </x:c>
      <x:c r="O36" s="218" t="n">
        <x:v>4</x:v>
      </x:c>
      <x:c r="P36" s="91" t="n">
        <x:f>G36*O36</x:f>
        <x:v>12</x:v>
      </x:c>
      <x:c r="Q36" s="91" t="n">
        <x:f>SUM(I36,K36,M36,O36)</x:f>
        <x:v>4</x:v>
      </x:c>
      <x:c r="R36" s="91" t="n">
        <x:f>H36-Q36</x:f>
        <x:v>0</x:v>
      </x:c>
      <x:c r="S36" s="91" t="n">
        <x:f>SUM(J36,L36,N36,P36)</x:f>
        <x:v>12</x:v>
      </x:c>
      <x:c r="T36" s="91" t="n">
        <x:f>G36*H36</x:f>
        <x:v>12</x:v>
      </x:c>
    </x:row>
    <x:row r="37" ht="24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</x:row>
    <x:row r="38" ht="24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</x:row>
    <x:row r="39" ht="28" customHeight="1">
      <x:c r="A39" s="78"/>
      <x:c r="B39" s="82" t="str">
        <x:v>과학 영역의 통합·실험·융합과목</x:v>
      </x:c>
      <x:c r="C39" s="82"/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2"/>
      <x:c r="R39" s="82"/>
      <x:c r="S39" s="82"/>
      <x:c r="T39" s="82"/>
    </x:row>
    <x:row r="40" ht="44" customHeight="1">
      <x:c r="A40" s="78"/>
      <x:c r="B40" s="86" t="str">
        <x:v>학년도</x:v>
      </x:c>
      <x:c r="C40" s="86" t="str">
        <x:v>학기</x:v>
      </x:c>
      <x:c r="D40" s="86" t="str">
        <x:v>학년</x:v>
      </x:c>
      <x:c r="E40" s="86" t="str">
        <x:v>교육과정안</x:v>
      </x:c>
      <x:c r="F40" s="86" t="str">
        <x:v>과목명</x:v>
      </x:c>
      <x:c r="G40" s="86" t="str">
        <x:v>반당
시수</x:v>
      </x:c>
      <x:c r="H40" s="86" t="str">
        <x:v>개설
반 수</x:v>
      </x:c>
      <x:c r="I40" s="86" t="str">
        <x:v>물리학
배정 반</x:v>
      </x:c>
      <x:c r="J40" s="86" t="str">
        <x:v>물리학
배정 시수</x:v>
      </x:c>
      <x:c r="K40" s="86" t="str">
        <x:v>화학
배정 반</x:v>
      </x:c>
      <x:c r="L40" s="86" t="str">
        <x:v>화학
배정 시수</x:v>
      </x:c>
      <x:c r="M40" s="86" t="str">
        <x:v>생명과학
배정 반</x:v>
      </x:c>
      <x:c r="N40" s="86" t="str">
        <x:v>생명과학
배정 시수</x:v>
      </x:c>
      <x:c r="O40" s="86" t="str">
        <x:v>지구과학
배정 반</x:v>
      </x:c>
      <x:c r="P40" s="86" t="str">
        <x:v>지구과학
배정 시수</x:v>
      </x:c>
      <x:c r="Q40" s="86" t="str">
        <x:v>배정
반 합계</x:v>
      </x:c>
      <x:c r="R40" s="86" t="str">
        <x:v>미배정
반 수</x:v>
      </x:c>
      <x:c r="S40" s="86" t="str">
        <x:v>배정
시수 합계</x:v>
      </x:c>
      <x:c r="T40" s="86" t="str">
        <x:v>원과목
총시수</x:v>
      </x:c>
    </x:row>
    <x:row r="41" ht="24" customHeight="1">
      <x:c r="A41" s="78"/>
      <x:c r="B41" s="78" t="n">
        <x:v>2027</x:v>
      </x:c>
      <x:c r="C41" s="78" t="n">
        <x:v>1</x:v>
      </x:c>
      <x:c r="D41" s="78" t="n">
        <x:v>1</x:v>
      </x:c>
      <x:c r="E41" s="78" t="str">
        <x:v>공통</x:v>
      </x:c>
      <x:c r="F41" s="78" t="str">
        <x:v>통합과학1</x:v>
      </x:c>
      <x:c r="G41" s="91" t="n">
        <x:f>'기존안 과목내역'!I10</x:f>
        <x:v>4</x:v>
      </x:c>
      <x:c r="H41" s="91" t="n">
        <x:f>'기존안 과목내역'!J10</x:f>
        <x:v>12</x:v>
      </x:c>
      <x:c r="I41" s="218" t="n">
        <x:v>1</x:v>
      </x:c>
      <x:c r="J41" s="91" t="n">
        <x:f>G41*I41</x:f>
        <x:v>4</x:v>
      </x:c>
      <x:c r="K41" s="218" t="n">
        <x:v>0</x:v>
      </x:c>
      <x:c r="L41" s="91" t="n">
        <x:f>G41*K41</x:f>
        <x:v>0</x:v>
      </x:c>
      <x:c r="M41" s="218" t="n">
        <x:v>4</x:v>
      </x:c>
      <x:c r="N41" s="91" t="n">
        <x:f>G41*M41</x:f>
        <x:v>16</x:v>
      </x:c>
      <x:c r="O41" s="218" t="n">
        <x:v>7</x:v>
      </x:c>
      <x:c r="P41" s="91" t="n">
        <x:f>G41*O41</x:f>
        <x:v>28</x:v>
      </x:c>
      <x:c r="Q41" s="91" t="n">
        <x:f>SUM(I41,K41,M41,O41)</x:f>
        <x:v>12</x:v>
      </x:c>
      <x:c r="R41" s="91" t="n">
        <x:f>H41-Q41</x:f>
        <x:v>0</x:v>
      </x:c>
      <x:c r="S41" s="91" t="n">
        <x:f>SUM(J41,L41,N41,P41)</x:f>
        <x:v>48</x:v>
      </x:c>
      <x:c r="T41" s="91" t="n">
        <x:f>G41*H41</x:f>
        <x:v>48</x:v>
      </x:c>
    </x:row>
    <x:row r="42" ht="24" customHeight="1">
      <x:c r="A42" s="78"/>
      <x:c r="B42" s="78" t="n">
        <x:v>2027</x:v>
      </x:c>
      <x:c r="C42" s="78" t="n">
        <x:v>1</x:v>
      </x:c>
      <x:c r="D42" s="78" t="n">
        <x:v>1</x:v>
      </x:c>
      <x:c r="E42" s="78" t="str">
        <x:v>공통</x:v>
      </x:c>
      <x:c r="F42" s="78" t="str">
        <x:v>과학탐구실험1</x:v>
      </x:c>
      <x:c r="G42" s="91" t="n">
        <x:f>'기존안 과목내역'!I11</x:f>
        <x:v>1</x:v>
      </x:c>
      <x:c r="H42" s="91" t="n">
        <x:f>'기존안 과목내역'!J11</x:f>
        <x:v>12</x:v>
      </x:c>
      <x:c r="I42" s="218" t="n">
        <x:v>2</x:v>
      </x:c>
      <x:c r="J42" s="91" t="n">
        <x:f>G42*I42</x:f>
        <x:v>2</x:v>
      </x:c>
      <x:c r="K42" s="218" t="n">
        <x:v>0</x:v>
      </x:c>
      <x:c r="L42" s="91" t="n">
        <x:f>G42*K42</x:f>
        <x:v>0</x:v>
      </x:c>
      <x:c r="M42" s="218" t="n">
        <x:v>4</x:v>
      </x:c>
      <x:c r="N42" s="91" t="n">
        <x:f>G42*M42</x:f>
        <x:v>4</x:v>
      </x:c>
      <x:c r="O42" s="218" t="n">
        <x:v>6</x:v>
      </x:c>
      <x:c r="P42" s="91" t="n">
        <x:f>G42*O42</x:f>
        <x:v>6</x:v>
      </x:c>
      <x:c r="Q42" s="91" t="n">
        <x:f>SUM(I42,K42,M42,O42)</x:f>
        <x:v>12</x:v>
      </x:c>
      <x:c r="R42" s="91" t="n">
        <x:f>H42-Q42</x:f>
        <x:v>0</x:v>
      </x:c>
      <x:c r="S42" s="91" t="n">
        <x:f>SUM(J42,L42,N42,P42)</x:f>
        <x:v>12</x:v>
      </x:c>
      <x:c r="T42" s="91" t="n">
        <x:f>G42*H42</x:f>
        <x:v>12</x:v>
      </x:c>
    </x:row>
    <x:row r="43" ht="24" customHeight="1">
      <x:c r="A43" s="78"/>
      <x:c r="B43" s="78" t="n">
        <x:v>2027</x:v>
      </x:c>
      <x:c r="C43" s="78" t="n">
        <x:v>2</x:v>
      </x:c>
      <x:c r="D43" s="78" t="n">
        <x:v>1</x:v>
      </x:c>
      <x:c r="E43" s="78" t="str">
        <x:v>공통</x:v>
      </x:c>
      <x:c r="F43" s="78" t="str">
        <x:v>통합과학2</x:v>
      </x:c>
      <x:c r="G43" s="91" t="n">
        <x:f>'기존안 과목내역'!I40</x:f>
        <x:v>4</x:v>
      </x:c>
      <x:c r="H43" s="91" t="n">
        <x:f>'기존안 과목내역'!J40</x:f>
        <x:v>12</x:v>
      </x:c>
      <x:c r="I43" s="218" t="n">
        <x:v>3</x:v>
      </x:c>
      <x:c r="J43" s="91" t="n">
        <x:f>G43*I43</x:f>
        <x:v>12</x:v>
      </x:c>
      <x:c r="K43" s="218" t="n">
        <x:v>9</x:v>
      </x:c>
      <x:c r="L43" s="91" t="n">
        <x:f>G43*K43</x:f>
        <x:v>36</x:v>
      </x:c>
      <x:c r="M43" s="218" t="n">
        <x:v>0</x:v>
      </x:c>
      <x:c r="N43" s="91" t="n">
        <x:f>G43*M43</x:f>
        <x:v>0</x:v>
      </x:c>
      <x:c r="O43" s="218" t="n">
        <x:v>0</x:v>
      </x:c>
      <x:c r="P43" s="91" t="n">
        <x:f>G43*O43</x:f>
        <x:v>0</x:v>
      </x:c>
      <x:c r="Q43" s="91" t="n">
        <x:f>SUM(I43,K43,M43,O43)</x:f>
        <x:v>12</x:v>
      </x:c>
      <x:c r="R43" s="91" t="n">
        <x:f>H43-Q43</x:f>
        <x:v>0</x:v>
      </x:c>
      <x:c r="S43" s="91" t="n">
        <x:f>SUM(J43,L43,N43,P43)</x:f>
        <x:v>48</x:v>
      </x:c>
      <x:c r="T43" s="91" t="n">
        <x:f>G43*H43</x:f>
        <x:v>48</x:v>
      </x:c>
    </x:row>
    <x:row r="44" ht="24" customHeight="1">
      <x:c r="A44" s="78"/>
      <x:c r="B44" s="78" t="n">
        <x:v>2027</x:v>
      </x:c>
      <x:c r="C44" s="78" t="n">
        <x:v>2</x:v>
      </x:c>
      <x:c r="D44" s="78" t="n">
        <x:v>1</x:v>
      </x:c>
      <x:c r="E44" s="78" t="str">
        <x:v>공통</x:v>
      </x:c>
      <x:c r="F44" s="78" t="str">
        <x:v>과학탐구실험2</x:v>
      </x:c>
      <x:c r="G44" s="91" t="n">
        <x:f>'기존안 과목내역'!I41</x:f>
        <x:v>1</x:v>
      </x:c>
      <x:c r="H44" s="91" t="n">
        <x:f>'기존안 과목내역'!J41</x:f>
        <x:v>12</x:v>
      </x:c>
      <x:c r="I44" s="218" t="n">
        <x:v>3</x:v>
      </x:c>
      <x:c r="J44" s="91" t="n">
        <x:f>G44*I44</x:f>
        <x:v>3</x:v>
      </x:c>
      <x:c r="K44" s="218" t="n">
        <x:v>2</x:v>
      </x:c>
      <x:c r="L44" s="91" t="n">
        <x:f>G44*K44</x:f>
        <x:v>2</x:v>
      </x:c>
      <x:c r="M44" s="218" t="n">
        <x:v>2</x:v>
      </x:c>
      <x:c r="N44" s="91" t="n">
        <x:f>G44*M44</x:f>
        <x:v>2</x:v>
      </x:c>
      <x:c r="O44" s="218" t="n">
        <x:v>5</x:v>
      </x:c>
      <x:c r="P44" s="91" t="n">
        <x:f>G44*O44</x:f>
        <x:v>5</x:v>
      </x:c>
      <x:c r="Q44" s="91" t="n">
        <x:f>SUM(I44,K44,M44,O44)</x:f>
        <x:v>12</x:v>
      </x:c>
      <x:c r="R44" s="91" t="n">
        <x:f>H44-Q44</x:f>
        <x:v>0</x:v>
      </x:c>
      <x:c r="S44" s="91" t="n">
        <x:f>SUM(J44,L44,N44,P44)</x:f>
        <x:v>12</x:v>
      </x:c>
      <x:c r="T44" s="91" t="n">
        <x:f>G44*H44</x:f>
        <x:v>12</x:v>
      </x:c>
    </x:row>
    <x:row r="45" ht="24" customHeight="1">
      <x:c r="A45" s="78"/>
      <x:c r="B45" s="78" t="n">
        <x:v>2027</x:v>
      </x:c>
      <x:c r="C45" s="78" t="n">
        <x:v>2</x:v>
      </x:c>
      <x:c r="D45" s="78" t="n">
        <x:v>3</x:v>
      </x:c>
      <x:c r="E45" s="78" t="str">
        <x:v>공통</x:v>
      </x:c>
      <x:c r="F45" s="78" t="str">
        <x:v>과학의 역사와 문화</x:v>
      </x:c>
      <x:c r="G45" s="91" t="n">
        <x:f>'기존안 과목내역'!I59</x:f>
        <x:v>3</x:v>
      </x:c>
      <x:c r="H45" s="91" t="n">
        <x:f>'기존안 과목내역'!J59</x:f>
        <x:v>8</x:v>
      </x:c>
      <x:c r="I45" s="218" t="n">
        <x:v>2</x:v>
      </x:c>
      <x:c r="J45" s="91" t="n">
        <x:f>G45*I45</x:f>
        <x:v>6</x:v>
      </x:c>
      <x:c r="K45" s="218" t="n">
        <x:v>3</x:v>
      </x:c>
      <x:c r="L45" s="91" t="n">
        <x:f>G45*K45</x:f>
        <x:v>9</x:v>
      </x:c>
      <x:c r="M45" s="218" t="n">
        <x:v>1</x:v>
      </x:c>
      <x:c r="N45" s="91" t="n">
        <x:f>G45*M45</x:f>
        <x:v>3</x:v>
      </x:c>
      <x:c r="O45" s="218" t="n">
        <x:v>2</x:v>
      </x:c>
      <x:c r="P45" s="91" t="n">
        <x:f>G45*O45</x:f>
        <x:v>6</x:v>
      </x:c>
      <x:c r="Q45" s="91" t="n">
        <x:f>SUM(I45,K45,M45,O45)</x:f>
        <x:v>8</x:v>
      </x:c>
      <x:c r="R45" s="91" t="n">
        <x:f>H45-Q45</x:f>
        <x:v>0</x:v>
      </x:c>
      <x:c r="S45" s="91" t="n">
        <x:f>SUM(J45,L45,N45,P45)</x:f>
        <x:v>24</x:v>
      </x:c>
      <x:c r="T45" s="91" t="n">
        <x:f>G45*H45</x:f>
        <x:v>24</x:v>
      </x:c>
    </x:row>
    <x:row r="46" ht="24" customHeight="1">
      <x:c r="A46" s="78"/>
      <x:c r="B46" s="78" t="n">
        <x:v>2027</x:v>
      </x:c>
      <x:c r="C46" s="78" t="n">
        <x:v>2</x:v>
      </x:c>
      <x:c r="D46" s="78" t="n">
        <x:v>3</x:v>
      </x:c>
      <x:c r="E46" s="78" t="str">
        <x:v>공통</x:v>
      </x:c>
      <x:c r="F46" s="78" t="str">
        <x:v>기후변화와 환경생태</x:v>
      </x:c>
      <x:c r="G46" s="91" t="n">
        <x:f>'기존안 과목내역'!I60</x:f>
        <x:v>3</x:v>
      </x:c>
      <x:c r="H46" s="91" t="n">
        <x:f>'기존안 과목내역'!J60</x:f>
        <x:v>10</x:v>
      </x:c>
      <x:c r="I46" s="220" t="n">
        <x:v>0</x:v>
      </x:c>
      <x:c r="J46" s="91" t="n">
        <x:f>G46*I46</x:f>
        <x:v>0</x:v>
      </x:c>
      <x:c r="K46" s="220" t="n">
        <x:v>0</x:v>
      </x:c>
      <x:c r="L46" s="91" t="n">
        <x:f>G46*K46</x:f>
        <x:v>0</x:v>
      </x:c>
      <x:c r="M46" s="218" t="n">
        <x:v>1</x:v>
      </x:c>
      <x:c r="N46" s="91" t="n">
        <x:f>G46*M46</x:f>
        <x:v>3</x:v>
      </x:c>
      <x:c r="O46" s="218" t="n">
        <x:v>9</x:v>
      </x:c>
      <x:c r="P46" s="91" t="n">
        <x:f>G46*O46</x:f>
        <x:v>27</x:v>
      </x:c>
      <x:c r="Q46" s="91" t="n">
        <x:f>SUM(I46,K46,M46,O46)</x:f>
        <x:v>10</x:v>
      </x:c>
      <x:c r="R46" s="91" t="n">
        <x:f>H46-Q46</x:f>
        <x:v>0</x:v>
      </x:c>
      <x:c r="S46" s="91" t="n">
        <x:f>SUM(J46,L46,N46,P46)</x:f>
        <x:v>30</x:v>
      </x:c>
      <x:c r="T46" s="91" t="n">
        <x:f>G46*H46</x:f>
        <x:v>30</x:v>
      </x:c>
    </x:row>
    <x:row r="47" ht="24" customHeight="1">
      <x:c r="A47" s="78"/>
      <x:c r="B47" s="78" t="n">
        <x:v>2027</x:v>
      </x:c>
      <x:c r="C47" s="78" t="n">
        <x:v>2</x:v>
      </x:c>
      <x:c r="D47" s="78" t="n">
        <x:v>3</x:v>
      </x:c>
      <x:c r="E47" s="78" t="str">
        <x:v>공통</x:v>
      </x:c>
      <x:c r="F47" s="78" t="str">
        <x:v>융합과학 탐구</x:v>
      </x:c>
      <x:c r="G47" s="91" t="n">
        <x:f>'기존안 과목내역'!I61</x:f>
        <x:v>3</x:v>
      </x:c>
      <x:c r="H47" s="91" t="n">
        <x:f>'기존안 과목내역'!J61</x:f>
        <x:v>8</x:v>
      </x:c>
      <x:c r="I47" s="218" t="n">
        <x:v>1</x:v>
      </x:c>
      <x:c r="J47" s="91" t="n">
        <x:f>G47*I47</x:f>
        <x:v>3</x:v>
      </x:c>
      <x:c r="K47" s="218" t="n">
        <x:v>2</x:v>
      </x:c>
      <x:c r="L47" s="91" t="n">
        <x:f>G47*K47</x:f>
        <x:v>6</x:v>
      </x:c>
      <x:c r="M47" s="218" t="n">
        <x:v>3</x:v>
      </x:c>
      <x:c r="N47" s="91" t="n">
        <x:f>G47*M47</x:f>
        <x:v>9</x:v>
      </x:c>
      <x:c r="O47" s="218" t="n">
        <x:v>2</x:v>
      </x:c>
      <x:c r="P47" s="91" t="n">
        <x:f>G47*O47</x:f>
        <x:v>6</x:v>
      </x:c>
      <x:c r="Q47" s="91" t="n">
        <x:f>SUM(I47,K47,M47,O47)</x:f>
        <x:v>8</x:v>
      </x:c>
      <x:c r="R47" s="91" t="n">
        <x:f>H47-Q47</x:f>
        <x:v>0</x:v>
      </x:c>
      <x:c r="S47" s="91" t="n">
        <x:f>SUM(J47,L47,N47,P47)</x:f>
        <x:v>24</x:v>
      </x:c>
      <x:c r="T47" s="91" t="n">
        <x:f>G47*H47</x:f>
        <x:v>24</x:v>
      </x:c>
    </x:row>
    <x:row r="48" ht="24" customHeight="1">
      <x:c r="A48" s="78"/>
      <x:c r="B48" s="78" t="n">
        <x:v>2028</x:v>
      </x:c>
      <x:c r="C48" s="78" t="n">
        <x:v>1</x:v>
      </x:c>
      <x:c r="D48" s="78" t="n">
        <x:v>1</x:v>
      </x:c>
      <x:c r="E48" s="78" t="str">
        <x:v>공통</x:v>
      </x:c>
      <x:c r="F48" s="78" t="str">
        <x:v>통합과학1</x:v>
      </x:c>
      <x:c r="G48" s="91" t="n">
        <x:f>'기존안 과목내역'!I64</x:f>
        <x:v>4</x:v>
      </x:c>
      <x:c r="H48" s="91" t="n">
        <x:f>'기존안 과목내역'!J64</x:f>
        <x:v>12</x:v>
      </x:c>
      <x:c r="I48" s="218" t="n">
        <x:v>2</x:v>
      </x:c>
      <x:c r="J48" s="91" t="n">
        <x:f>G48*I48</x:f>
        <x:v>8</x:v>
      </x:c>
      <x:c r="K48" s="218" t="n">
        <x:v>0</x:v>
      </x:c>
      <x:c r="L48" s="91" t="n">
        <x:f>G48*K48</x:f>
        <x:v>0</x:v>
      </x:c>
      <x:c r="M48" s="218" t="n">
        <x:v>3</x:v>
      </x:c>
      <x:c r="N48" s="91" t="n">
        <x:f>G48*M48</x:f>
        <x:v>12</x:v>
      </x:c>
      <x:c r="O48" s="218" t="n">
        <x:v>7</x:v>
      </x:c>
      <x:c r="P48" s="91" t="n">
        <x:f>G48*O48</x:f>
        <x:v>28</x:v>
      </x:c>
      <x:c r="Q48" s="91" t="n">
        <x:f>SUM(I48,K48,M48,O48)</x:f>
        <x:v>12</x:v>
      </x:c>
      <x:c r="R48" s="91" t="n">
        <x:f>H48-Q48</x:f>
        <x:v>0</x:v>
      </x:c>
      <x:c r="S48" s="91" t="n">
        <x:f>SUM(J48,L48,N48,P48)</x:f>
        <x:v>48</x:v>
      </x:c>
      <x:c r="T48" s="91" t="n">
        <x:f>G48*H48</x:f>
        <x:v>48</x:v>
      </x:c>
    </x:row>
    <x:row r="49" ht="24" customHeight="1">
      <x:c r="A49" s="78"/>
      <x:c r="B49" s="78" t="n">
        <x:v>2028</x:v>
      </x:c>
      <x:c r="C49" s="78" t="n">
        <x:v>1</x:v>
      </x:c>
      <x:c r="D49" s="78" t="n">
        <x:v>1</x:v>
      </x:c>
      <x:c r="E49" s="78" t="str">
        <x:v>공통</x:v>
      </x:c>
      <x:c r="F49" s="78" t="str">
        <x:v>과학탐구실험1</x:v>
      </x:c>
      <x:c r="G49" s="91" t="n">
        <x:f>'기존안 과목내역'!I65</x:f>
        <x:v>1</x:v>
      </x:c>
      <x:c r="H49" s="91" t="n">
        <x:f>'기존안 과목내역'!J65</x:f>
        <x:v>12</x:v>
      </x:c>
      <x:c r="I49" s="218" t="n">
        <x:v>4</x:v>
      </x:c>
      <x:c r="J49" s="91" t="n">
        <x:f>G49*I49</x:f>
        <x:v>4</x:v>
      </x:c>
      <x:c r="K49" s="218" t="n">
        <x:v>0</x:v>
      </x:c>
      <x:c r="L49" s="91" t="n">
        <x:f>G49*K49</x:f>
        <x:v>0</x:v>
      </x:c>
      <x:c r="M49" s="218" t="n">
        <x:v>3</x:v>
      </x:c>
      <x:c r="N49" s="91" t="n">
        <x:f>G49*M49</x:f>
        <x:v>3</x:v>
      </x:c>
      <x:c r="O49" s="218" t="n">
        <x:v>5</x:v>
      </x:c>
      <x:c r="P49" s="91" t="n">
        <x:f>G49*O49</x:f>
        <x:v>5</x:v>
      </x:c>
      <x:c r="Q49" s="91" t="n">
        <x:f>SUM(I49,K49,M49,O49)</x:f>
        <x:v>12</x:v>
      </x:c>
      <x:c r="R49" s="91" t="n">
        <x:f>H49-Q49</x:f>
        <x:v>0</x:v>
      </x:c>
      <x:c r="S49" s="91" t="n">
        <x:f>SUM(J49,L49,N49,P49)</x:f>
        <x:v>12</x:v>
      </x:c>
      <x:c r="T49" s="91" t="n">
        <x:f>G49*H49</x:f>
        <x:v>12</x:v>
      </x:c>
    </x:row>
    <x:row r="50" ht="24" customHeight="1">
      <x:c r="A50" s="78"/>
      <x:c r="B50" s="78" t="n">
        <x:v>2028</x:v>
      </x:c>
      <x:c r="C50" s="78" t="n">
        <x:v>2</x:v>
      </x:c>
      <x:c r="D50" s="78" t="n">
        <x:v>1</x:v>
      </x:c>
      <x:c r="E50" s="78" t="str">
        <x:v>공통</x:v>
      </x:c>
      <x:c r="F50" s="78" t="str">
        <x:v>통합과학2</x:v>
      </x:c>
      <x:c r="G50" s="91" t="n">
        <x:f>'기존안 과목내역'!I88</x:f>
        <x:v>4</x:v>
      </x:c>
      <x:c r="H50" s="91" t="n">
        <x:f>'기존안 과목내역'!J88</x:f>
        <x:v>12</x:v>
      </x:c>
      <x:c r="I50" s="218" t="n">
        <x:v>4</x:v>
      </x:c>
      <x:c r="J50" s="91" t="n">
        <x:f>G50*I50</x:f>
        <x:v>16</x:v>
      </x:c>
      <x:c r="K50" s="218" t="n">
        <x:v>6</x:v>
      </x:c>
      <x:c r="L50" s="91" t="n">
        <x:f>G50*K50</x:f>
        <x:v>24</x:v>
      </x:c>
      <x:c r="M50" s="218" t="n">
        <x:v>1</x:v>
      </x:c>
      <x:c r="N50" s="91" t="n">
        <x:f>G50*M50</x:f>
        <x:v>4</x:v>
      </x:c>
      <x:c r="O50" s="218" t="n">
        <x:v>1</x:v>
      </x:c>
      <x:c r="P50" s="91" t="n">
        <x:f>G50*O50</x:f>
        <x:v>4</x:v>
      </x:c>
      <x:c r="Q50" s="91" t="n">
        <x:f>SUM(I50,K50,M50,O50)</x:f>
        <x:v>12</x:v>
      </x:c>
      <x:c r="R50" s="91" t="n">
        <x:f>H50-Q50</x:f>
        <x:v>0</x:v>
      </x:c>
      <x:c r="S50" s="91" t="n">
        <x:f>SUM(J50,L50,N50,P50)</x:f>
        <x:v>48</x:v>
      </x:c>
      <x:c r="T50" s="91" t="n">
        <x:f>G50*H50</x:f>
        <x:v>48</x:v>
      </x:c>
    </x:row>
    <x:row r="51" ht="24" customHeight="1">
      <x:c r="A51" s="78"/>
      <x:c r="B51" s="78" t="n">
        <x:v>2028</x:v>
      </x:c>
      <x:c r="C51" s="78" t="n">
        <x:v>2</x:v>
      </x:c>
      <x:c r="D51" s="78" t="n">
        <x:v>1</x:v>
      </x:c>
      <x:c r="E51" s="78" t="str">
        <x:v>공통</x:v>
      </x:c>
      <x:c r="F51" s="78" t="str">
        <x:v>과학탐구실험2</x:v>
      </x:c>
      <x:c r="G51" s="91" t="n">
        <x:f>'기존안 과목내역'!I89</x:f>
        <x:v>1</x:v>
      </x:c>
      <x:c r="H51" s="91" t="n">
        <x:f>'기존안 과목내역'!J89</x:f>
        <x:v>12</x:v>
      </x:c>
      <x:c r="I51" s="218" t="n">
        <x:v>2</x:v>
      </x:c>
      <x:c r="J51" s="91" t="n">
        <x:f>G51*I51</x:f>
        <x:v>2</x:v>
      </x:c>
      <x:c r="K51" s="218" t="n">
        <x:v>4</x:v>
      </x:c>
      <x:c r="L51" s="91" t="n">
        <x:f>G51*K51</x:f>
        <x:v>4</x:v>
      </x:c>
      <x:c r="M51" s="218" t="n">
        <x:v>3</x:v>
      </x:c>
      <x:c r="N51" s="91" t="n">
        <x:f>G51*M51</x:f>
        <x:v>3</x:v>
      </x:c>
      <x:c r="O51" s="218" t="n">
        <x:v>3</x:v>
      </x:c>
      <x:c r="P51" s="91" t="n">
        <x:f>G51*O51</x:f>
        <x:v>3</x:v>
      </x:c>
      <x:c r="Q51" s="91" t="n">
        <x:f>SUM(I51,K51,M51,O51)</x:f>
        <x:v>12</x:v>
      </x:c>
      <x:c r="R51" s="91" t="n">
        <x:f>H51-Q51</x:f>
        <x:v>0</x:v>
      </x:c>
      <x:c r="S51" s="91" t="n">
        <x:f>SUM(J51,L51,N51,P51)</x:f>
        <x:v>12</x:v>
      </x:c>
      <x:c r="T51" s="91" t="n">
        <x:f>G51*H51</x:f>
        <x:v>12</x:v>
      </x:c>
    </x:row>
    <x:row r="52" ht="24" customHeight="1">
      <x:c r="A52" s="78"/>
      <x:c r="B52" s="78" t="n">
        <x:v>2028</x:v>
      </x:c>
      <x:c r="C52" s="78" t="n">
        <x:v>2</x:v>
      </x:c>
      <x:c r="D52" s="78" t="n">
        <x:v>3</x:v>
      </x:c>
      <x:c r="E52" s="78" t="str">
        <x:v>공통</x:v>
      </x:c>
      <x:c r="F52" s="78" t="str">
        <x:v>과학의 역사와 문화</x:v>
      </x:c>
      <x:c r="G52" s="91" t="n">
        <x:f>'기존안 과목내역'!I103</x:f>
        <x:v>3</x:v>
      </x:c>
      <x:c r="H52" s="91" t="n">
        <x:f>'기존안 과목내역'!J103</x:f>
        <x:v>10</x:v>
      </x:c>
      <x:c r="I52" s="218" t="n">
        <x:v>1</x:v>
      </x:c>
      <x:c r="J52" s="91" t="n">
        <x:f>G52*I52</x:f>
        <x:v>3</x:v>
      </x:c>
      <x:c r="K52" s="218" t="n">
        <x:v>3</x:v>
      </x:c>
      <x:c r="L52" s="91" t="n">
        <x:f>G52*K52</x:f>
        <x:v>9</x:v>
      </x:c>
      <x:c r="M52" s="218" t="n">
        <x:v>3</x:v>
      </x:c>
      <x:c r="N52" s="91" t="n">
        <x:f>G52*M52</x:f>
        <x:v>9</x:v>
      </x:c>
      <x:c r="O52" s="218" t="n">
        <x:v>3</x:v>
      </x:c>
      <x:c r="P52" s="91" t="n">
        <x:f>G52*O52</x:f>
        <x:v>9</x:v>
      </x:c>
      <x:c r="Q52" s="91" t="n">
        <x:f>SUM(I52,K52,M52,O52)</x:f>
        <x:v>10</x:v>
      </x:c>
      <x:c r="R52" s="91" t="n">
        <x:f>H52-Q52</x:f>
        <x:v>0</x:v>
      </x:c>
      <x:c r="S52" s="91" t="n">
        <x:f>SUM(J52,L52,N52,P52)</x:f>
        <x:v>30</x:v>
      </x:c>
      <x:c r="T52" s="91" t="n">
        <x:f>G52*H52</x:f>
        <x:v>30</x:v>
      </x:c>
    </x:row>
    <x:row r="53" ht="24" customHeight="1">
      <x:c r="A53" s="78"/>
      <x:c r="B53" s="78" t="n">
        <x:v>2028</x:v>
      </x:c>
      <x:c r="C53" s="78" t="n">
        <x:v>2</x:v>
      </x:c>
      <x:c r="D53" s="78" t="n">
        <x:v>3</x:v>
      </x:c>
      <x:c r="E53" s="78" t="str">
        <x:v>공통</x:v>
      </x:c>
      <x:c r="F53" s="78" t="str">
        <x:v>기후변화와 환경생태</x:v>
      </x:c>
      <x:c r="G53" s="91" t="n">
        <x:f>'기존안 과목내역'!I104</x:f>
        <x:v>3</x:v>
      </x:c>
      <x:c r="H53" s="91" t="n">
        <x:f>'기존안 과목내역'!J104</x:f>
        <x:v>13</x:v>
      </x:c>
      <x:c r="I53" s="220" t="n">
        <x:v>0</x:v>
      </x:c>
      <x:c r="J53" s="91" t="n">
        <x:f>G53*I53</x:f>
        <x:v>0</x:v>
      </x:c>
      <x:c r="K53" s="220" t="n">
        <x:v>0</x:v>
      </x:c>
      <x:c r="L53" s="91" t="n">
        <x:f>G53*K53</x:f>
        <x:v>0</x:v>
      </x:c>
      <x:c r="M53" s="218" t="n">
        <x:v>7</x:v>
      </x:c>
      <x:c r="N53" s="91" t="n">
        <x:f>G53*M53</x:f>
        <x:v>21</x:v>
      </x:c>
      <x:c r="O53" s="218" t="n">
        <x:v>6</x:v>
      </x:c>
      <x:c r="P53" s="91" t="n">
        <x:f>G53*O53</x:f>
        <x:v>18</x:v>
      </x:c>
      <x:c r="Q53" s="91" t="n">
        <x:f>SUM(I53,K53,M53,O53)</x:f>
        <x:v>13</x:v>
      </x:c>
      <x:c r="R53" s="91" t="n">
        <x:f>H53-Q53</x:f>
        <x:v>0</x:v>
      </x:c>
      <x:c r="S53" s="91" t="n">
        <x:f>SUM(J53,L53,N53,P53)</x:f>
        <x:v>39</x:v>
      </x:c>
      <x:c r="T53" s="91" t="n">
        <x:f>G53*H53</x:f>
        <x:v>39</x:v>
      </x:c>
    </x:row>
    <x:row r="54" ht="24" customHeight="1">
      <x:c r="A54" s="78"/>
      <x:c r="B54" s="78" t="n">
        <x:v>2028</x:v>
      </x:c>
      <x:c r="C54" s="78" t="n">
        <x:v>2</x:v>
      </x:c>
      <x:c r="D54" s="78" t="n">
        <x:v>3</x:v>
      </x:c>
      <x:c r="E54" s="78" t="str">
        <x:v>공통</x:v>
      </x:c>
      <x:c r="F54" s="78" t="str">
        <x:v>융합과학 탐구</x:v>
      </x:c>
      <x:c r="G54" s="91" t="n">
        <x:f>'기존안 과목내역'!I105</x:f>
        <x:v>3</x:v>
      </x:c>
      <x:c r="H54" s="91" t="n">
        <x:f>'기존안 과목내역'!J105</x:f>
        <x:v>10</x:v>
      </x:c>
      <x:c r="I54" s="218" t="n">
        <x:v>2</x:v>
      </x:c>
      <x:c r="J54" s="91" t="n">
        <x:f>G54*I54</x:f>
        <x:v>6</x:v>
      </x:c>
      <x:c r="K54" s="218" t="n">
        <x:v>2</x:v>
      </x:c>
      <x:c r="L54" s="91" t="n">
        <x:f>G54*K54</x:f>
        <x:v>6</x:v>
      </x:c>
      <x:c r="M54" s="218" t="n">
        <x:v>3</x:v>
      </x:c>
      <x:c r="N54" s="91" t="n">
        <x:f>G54*M54</x:f>
        <x:v>9</x:v>
      </x:c>
      <x:c r="O54" s="218" t="n">
        <x:v>3</x:v>
      </x:c>
      <x:c r="P54" s="91" t="n">
        <x:f>G54*O54</x:f>
        <x:v>9</x:v>
      </x:c>
      <x:c r="Q54" s="91" t="n">
        <x:f>SUM(I54,K54,M54,O54)</x:f>
        <x:v>10</x:v>
      </x:c>
      <x:c r="R54" s="91" t="n">
        <x:f>H54-Q54</x:f>
        <x:v>0</x:v>
      </x:c>
      <x:c r="S54" s="91" t="n">
        <x:f>SUM(J54,L54,N54,P54)</x:f>
        <x:v>30</x:v>
      </x:c>
      <x:c r="T54" s="91" t="n">
        <x:f>G54*H54</x:f>
        <x:v>30</x:v>
      </x:c>
    </x:row>
    <x:row r="55" ht="24" customHeight="1">
      <x:c r="A55" s="78"/>
      <x:c r="B55" s="78" t="n">
        <x:v>2029</x:v>
      </x:c>
      <x:c r="C55" s="78" t="n">
        <x:v>1</x:v>
      </x:c>
      <x:c r="D55" s="78" t="n">
        <x:v>1</x:v>
      </x:c>
      <x:c r="E55" s="78" t="str">
        <x:v>기존안</x:v>
      </x:c>
      <x:c r="F55" s="78" t="str">
        <x:v>통합과학1</x:v>
      </x:c>
      <x:c r="G55" s="91" t="n">
        <x:f>'기존안 과목내역'!I108</x:f>
        <x:v>4</x:v>
      </x:c>
      <x:c r="H55" s="91" t="n">
        <x:f>'기존안 과목내역'!J108</x:f>
        <x:v>12</x:v>
      </x:c>
      <x:c r="I55" s="218" t="n">
        <x:v>2</x:v>
      </x:c>
      <x:c r="J55" s="91" t="n">
        <x:f>G55*I55</x:f>
        <x:v>8</x:v>
      </x:c>
      <x:c r="K55" s="218" t="n">
        <x:v>1</x:v>
      </x:c>
      <x:c r="L55" s="91" t="n">
        <x:f>G55*K55</x:f>
        <x:v>4</x:v>
      </x:c>
      <x:c r="M55" s="218" t="n">
        <x:v>2</x:v>
      </x:c>
      <x:c r="N55" s="91" t="n">
        <x:f>G55*M55</x:f>
        <x:v>8</x:v>
      </x:c>
      <x:c r="O55" s="218" t="n">
        <x:v>7</x:v>
      </x:c>
      <x:c r="P55" s="91" t="n">
        <x:f>G55*O55</x:f>
        <x:v>28</x:v>
      </x:c>
      <x:c r="Q55" s="91" t="n">
        <x:f>SUM(I55,K55,M55,O55)</x:f>
        <x:v>12</x:v>
      </x:c>
      <x:c r="R55" s="91" t="n">
        <x:f>H55-Q55</x:f>
        <x:v>0</x:v>
      </x:c>
      <x:c r="S55" s="91" t="n">
        <x:f>SUM(J55,L55,N55,P55)</x:f>
        <x:v>48</x:v>
      </x:c>
      <x:c r="T55" s="91" t="n">
        <x:f>G55*H55</x:f>
        <x:v>48</x:v>
      </x:c>
    </x:row>
    <x:row r="56" ht="24" customHeight="1">
      <x:c r="A56" s="78"/>
      <x:c r="B56" s="78" t="n">
        <x:v>2029</x:v>
      </x:c>
      <x:c r="C56" s="78" t="n">
        <x:v>1</x:v>
      </x:c>
      <x:c r="D56" s="78" t="n">
        <x:v>1</x:v>
      </x:c>
      <x:c r="E56" s="78" t="str">
        <x:v>기존안</x:v>
      </x:c>
      <x:c r="F56" s="78" t="str">
        <x:v>과학탐구실험1</x:v>
      </x:c>
      <x:c r="G56" s="91" t="n">
        <x:f>'기존안 과목내역'!I109</x:f>
        <x:v>1</x:v>
      </x:c>
      <x:c r="H56" s="91" t="n">
        <x:f>'기존안 과목내역'!J109</x:f>
        <x:v>12</x:v>
      </x:c>
      <x:c r="I56" s="218" t="n">
        <x:v>1</x:v>
      </x:c>
      <x:c r="J56" s="91" t="n">
        <x:f>G56*I56</x:f>
        <x:v>1</x:v>
      </x:c>
      <x:c r="K56" s="218" t="n">
        <x:v>2</x:v>
      </x:c>
      <x:c r="L56" s="91" t="n">
        <x:f>G56*K56</x:f>
        <x:v>2</x:v>
      </x:c>
      <x:c r="M56" s="218" t="n">
        <x:v>4</x:v>
      </x:c>
      <x:c r="N56" s="91" t="n">
        <x:f>G56*M56</x:f>
        <x:v>4</x:v>
      </x:c>
      <x:c r="O56" s="218" t="n">
        <x:v>5</x:v>
      </x:c>
      <x:c r="P56" s="91" t="n">
        <x:f>G56*O56</x:f>
        <x:v>5</x:v>
      </x:c>
      <x:c r="Q56" s="91" t="n">
        <x:f>SUM(I56,K56,M56,O56)</x:f>
        <x:v>12</x:v>
      </x:c>
      <x:c r="R56" s="91" t="n">
        <x:f>H56-Q56</x:f>
        <x:v>0</x:v>
      </x:c>
      <x:c r="S56" s="91" t="n">
        <x:f>SUM(J56,L56,N56,P56)</x:f>
        <x:v>12</x:v>
      </x:c>
      <x:c r="T56" s="91" t="n">
        <x:f>G56*H56</x:f>
        <x:v>12</x:v>
      </x:c>
    </x:row>
    <x:row r="57" ht="24" customHeight="1">
      <x:c r="A57" s="78"/>
      <x:c r="B57" s="93" t="n">
        <x:v>2029</x:v>
      </x:c>
      <x:c r="C57" s="93" t="n">
        <x:v>1</x:v>
      </x:c>
      <x:c r="D57" s="93" t="n">
        <x:v>1</x:v>
      </x:c>
      <x:c r="E57" s="93" t="str">
        <x:v>변경안</x:v>
      </x:c>
      <x:c r="F57" s="93" t="str">
        <x:v>통합과학1</x:v>
      </x:c>
      <x:c r="G57" s="91" t="n">
        <x:f>'기존안 과목내역'!I108</x:f>
        <x:v>4</x:v>
      </x:c>
      <x:c r="H57" s="91" t="n">
        <x:f>'기존안 과목내역'!J108</x:f>
        <x:v>12</x:v>
      </x:c>
      <x:c r="I57" s="218" t="n">
        <x:v>2</x:v>
      </x:c>
      <x:c r="J57" s="91" t="n">
        <x:f>G57*I57</x:f>
        <x:v>8</x:v>
      </x:c>
      <x:c r="K57" s="218" t="n">
        <x:v>1</x:v>
      </x:c>
      <x:c r="L57" s="91" t="n">
        <x:f>G57*K57</x:f>
        <x:v>4</x:v>
      </x:c>
      <x:c r="M57" s="218" t="n">
        <x:v>2</x:v>
      </x:c>
      <x:c r="N57" s="91" t="n">
        <x:f>G57*M57</x:f>
        <x:v>8</x:v>
      </x:c>
      <x:c r="O57" s="218" t="n">
        <x:v>7</x:v>
      </x:c>
      <x:c r="P57" s="91" t="n">
        <x:f>G57*O57</x:f>
        <x:v>28</x:v>
      </x:c>
      <x:c r="Q57" s="91" t="n">
        <x:f>SUM(I57,K57,M57,O57)</x:f>
        <x:v>12</x:v>
      </x:c>
      <x:c r="R57" s="91" t="n">
        <x:f>H57-Q57</x:f>
        <x:v>0</x:v>
      </x:c>
      <x:c r="S57" s="91" t="n">
        <x:f>SUM(J57,L57,N57,P57)</x:f>
        <x:v>48</x:v>
      </x:c>
      <x:c r="T57" s="91" t="n">
        <x:f>G57*H57</x:f>
        <x:v>48</x:v>
      </x:c>
    </x:row>
    <x:row r="58" ht="24" customHeight="1">
      <x:c r="A58" s="78"/>
      <x:c r="B58" s="93" t="n">
        <x:v>2029</x:v>
      </x:c>
      <x:c r="C58" s="93" t="n">
        <x:v>1</x:v>
      </x:c>
      <x:c r="D58" s="93" t="n">
        <x:v>1</x:v>
      </x:c>
      <x:c r="E58" s="93" t="str">
        <x:v>변경안</x:v>
      </x:c>
      <x:c r="F58" s="93" t="str">
        <x:v>과학탐구실험1</x:v>
      </x:c>
      <x:c r="G58" s="91" t="n">
        <x:f>'기존안 과목내역'!I109</x:f>
        <x:v>1</x:v>
      </x:c>
      <x:c r="H58" s="91" t="n">
        <x:f>'기존안 과목내역'!J109</x:f>
        <x:v>12</x:v>
      </x:c>
      <x:c r="I58" s="218" t="n">
        <x:v>3</x:v>
      </x:c>
      <x:c r="J58" s="91" t="n">
        <x:f>G58*I58</x:f>
        <x:v>3</x:v>
      </x:c>
      <x:c r="K58" s="218" t="n">
        <x:v>4</x:v>
      </x:c>
      <x:c r="L58" s="91" t="n">
        <x:f>G58*K58</x:f>
        <x:v>4</x:v>
      </x:c>
      <x:c r="M58" s="218" t="n">
        <x:v>2</x:v>
      </x:c>
      <x:c r="N58" s="91" t="n">
        <x:f>G58*M58</x:f>
        <x:v>2</x:v>
      </x:c>
      <x:c r="O58" s="218" t="n">
        <x:v>3</x:v>
      </x:c>
      <x:c r="P58" s="91" t="n">
        <x:f>G58*O58</x:f>
        <x:v>3</x:v>
      </x:c>
      <x:c r="Q58" s="91" t="n">
        <x:f>SUM(I58,K58,M58,O58)</x:f>
        <x:v>12</x:v>
      </x:c>
      <x:c r="R58" s="91" t="n">
        <x:f>H58-Q58</x:f>
        <x:v>0</x:v>
      </x:c>
      <x:c r="S58" s="91" t="n">
        <x:f>SUM(J58,L58,N58,P58)</x:f>
        <x:v>12</x:v>
      </x:c>
      <x:c r="T58" s="91" t="n">
        <x:f>G58*H58</x:f>
        <x:v>12</x:v>
      </x:c>
    </x:row>
    <x:row r="59" ht="24" customHeight="1">
      <x:c r="A59" s="78"/>
      <x:c r="B59" s="78" t="n">
        <x:v>2029</x:v>
      </x:c>
      <x:c r="C59" s="78" t="n">
        <x:v>2</x:v>
      </x:c>
      <x:c r="D59" s="78" t="n">
        <x:v>1</x:v>
      </x:c>
      <x:c r="E59" s="78" t="str">
        <x:v>공통</x:v>
      </x:c>
      <x:c r="F59" s="78" t="str">
        <x:v>통합과학2</x:v>
      </x:c>
      <x:c r="G59" s="91" t="n">
        <x:f>'기존안 과목내역'!I129</x:f>
        <x:v>4</x:v>
      </x:c>
      <x:c r="H59" s="91" t="n">
        <x:f>'기존안 과목내역'!J129</x:f>
        <x:v>12</x:v>
      </x:c>
      <x:c r="I59" s="218" t="n">
        <x:v>3</x:v>
      </x:c>
      <x:c r="J59" s="91" t="n">
        <x:f>G59*I59</x:f>
        <x:v>12</x:v>
      </x:c>
      <x:c r="K59" s="218" t="n">
        <x:v>5</x:v>
      </x:c>
      <x:c r="L59" s="91" t="n">
        <x:f>G59*K59</x:f>
        <x:v>20</x:v>
      </x:c>
      <x:c r="M59" s="218" t="n">
        <x:v>2</x:v>
      </x:c>
      <x:c r="N59" s="91" t="n">
        <x:f>G59*M59</x:f>
        <x:v>8</x:v>
      </x:c>
      <x:c r="O59" s="218" t="n">
        <x:v>2</x:v>
      </x:c>
      <x:c r="P59" s="91" t="n">
        <x:f>G59*O59</x:f>
        <x:v>8</x:v>
      </x:c>
      <x:c r="Q59" s="91" t="n">
        <x:f>SUM(I59,K59,M59,O59)</x:f>
        <x:v>12</x:v>
      </x:c>
      <x:c r="R59" s="91" t="n">
        <x:f>H59-Q59</x:f>
        <x:v>0</x:v>
      </x:c>
      <x:c r="S59" s="91" t="n">
        <x:f>SUM(J59,L59,N59,P59)</x:f>
        <x:v>48</x:v>
      </x:c>
      <x:c r="T59" s="91" t="n">
        <x:f>G59*H59</x:f>
        <x:v>48</x:v>
      </x:c>
    </x:row>
    <x:row r="60" ht="24" customHeight="1">
      <x:c r="A60" s="78"/>
      <x:c r="B60" s="78" t="n">
        <x:v>2029</x:v>
      </x:c>
      <x:c r="C60" s="78" t="n">
        <x:v>2</x:v>
      </x:c>
      <x:c r="D60" s="78" t="n">
        <x:v>1</x:v>
      </x:c>
      <x:c r="E60" s="78" t="str">
        <x:v>공통</x:v>
      </x:c>
      <x:c r="F60" s="78" t="str">
        <x:v>과학탐구실험2</x:v>
      </x:c>
      <x:c r="G60" s="91" t="n">
        <x:f>'기존안 과목내역'!I130</x:f>
        <x:v>1</x:v>
      </x:c>
      <x:c r="H60" s="91" t="n">
        <x:f>'기존안 과목내역'!J130</x:f>
        <x:v>12</x:v>
      </x:c>
      <x:c r="I60" s="218" t="n">
        <x:v>3</x:v>
      </x:c>
      <x:c r="J60" s="91" t="n">
        <x:f>G60*I60</x:f>
        <x:v>3</x:v>
      </x:c>
      <x:c r="K60" s="218" t="n">
        <x:v>1</x:v>
      </x:c>
      <x:c r="L60" s="91" t="n">
        <x:f>G60*K60</x:f>
        <x:v>1</x:v>
      </x:c>
      <x:c r="M60" s="218" t="n">
        <x:v>4</x:v>
      </x:c>
      <x:c r="N60" s="91" t="n">
        <x:f>G60*M60</x:f>
        <x:v>4</x:v>
      </x:c>
      <x:c r="O60" s="218" t="n">
        <x:v>4</x:v>
      </x:c>
      <x:c r="P60" s="91" t="n">
        <x:f>G60*O60</x:f>
        <x:v>4</x:v>
      </x:c>
      <x:c r="Q60" s="91" t="n">
        <x:f>SUM(I60,K60,M60,O60)</x:f>
        <x:v>12</x:v>
      </x:c>
      <x:c r="R60" s="91" t="n">
        <x:f>H60-Q60</x:f>
        <x:v>0</x:v>
      </x:c>
      <x:c r="S60" s="91" t="n">
        <x:f>SUM(J60,L60,N60,P60)</x:f>
        <x:v>12</x:v>
      </x:c>
      <x:c r="T60" s="91" t="n">
        <x:f>G60*H60</x:f>
        <x:v>12</x:v>
      </x:c>
    </x:row>
    <x:row r="61" ht="24" customHeight="1">
      <x:c r="A61" s="78"/>
      <x:c r="B61" s="78" t="n">
        <x:v>2029</x:v>
      </x:c>
      <x:c r="C61" s="78" t="n">
        <x:v>2</x:v>
      </x:c>
      <x:c r="D61" s="78" t="n">
        <x:v>3</x:v>
      </x:c>
      <x:c r="E61" s="78" t="str">
        <x:v>공통</x:v>
      </x:c>
      <x:c r="F61" s="78" t="str">
        <x:v>과학의 역사와 문화</x:v>
      </x:c>
      <x:c r="G61" s="91" t="n">
        <x:f>'기존안 과목내역'!I144</x:f>
        <x:v>3</x:v>
      </x:c>
      <x:c r="H61" s="91" t="n">
        <x:f>'기존안 과목내역'!J144</x:f>
        <x:v>9</x:v>
      </x:c>
      <x:c r="I61" s="218" t="n">
        <x:v>2</x:v>
      </x:c>
      <x:c r="J61" s="91" t="n">
        <x:f>G61*I61</x:f>
        <x:v>6</x:v>
      </x:c>
      <x:c r="K61" s="218" t="n">
        <x:v>3</x:v>
      </x:c>
      <x:c r="L61" s="91" t="n">
        <x:f>G61*K61</x:f>
        <x:v>9</x:v>
      </x:c>
      <x:c r="M61" s="218" t="n">
        <x:v>2</x:v>
      </x:c>
      <x:c r="N61" s="91" t="n">
        <x:f>G61*M61</x:f>
        <x:v>6</x:v>
      </x:c>
      <x:c r="O61" s="218" t="n">
        <x:v>2</x:v>
      </x:c>
      <x:c r="P61" s="91" t="n">
        <x:f>G61*O61</x:f>
        <x:v>6</x:v>
      </x:c>
      <x:c r="Q61" s="91" t="n">
        <x:f>SUM(I61,K61,M61,O61)</x:f>
        <x:v>9</x:v>
      </x:c>
      <x:c r="R61" s="91" t="n">
        <x:f>H61-Q61</x:f>
        <x:v>0</x:v>
      </x:c>
      <x:c r="S61" s="91" t="n">
        <x:f>SUM(J61,L61,N61,P61)</x:f>
        <x:v>27</x:v>
      </x:c>
      <x:c r="T61" s="91" t="n">
        <x:f>G61*H61</x:f>
        <x:v>27</x:v>
      </x:c>
    </x:row>
    <x:row r="62" ht="24" customHeight="1">
      <x:c r="A62" s="78"/>
      <x:c r="B62" s="78" t="n">
        <x:v>2029</x:v>
      </x:c>
      <x:c r="C62" s="78" t="n">
        <x:v>2</x:v>
      </x:c>
      <x:c r="D62" s="78" t="n">
        <x:v>3</x:v>
      </x:c>
      <x:c r="E62" s="78" t="str">
        <x:v>공통</x:v>
      </x:c>
      <x:c r="F62" s="78" t="str">
        <x:v>기후변화와 환경생태</x:v>
      </x:c>
      <x:c r="G62" s="91" t="n">
        <x:f>'기존안 과목내역'!I145</x:f>
        <x:v>3</x:v>
      </x:c>
      <x:c r="H62" s="91" t="n">
        <x:f>'기존안 과목내역'!J145</x:f>
        <x:v>11</x:v>
      </x:c>
      <x:c r="I62" s="220" t="n">
        <x:v>0</x:v>
      </x:c>
      <x:c r="J62" s="91" t="n">
        <x:f>G62*I62</x:f>
        <x:v>0</x:v>
      </x:c>
      <x:c r="K62" s="220" t="n">
        <x:v>0</x:v>
      </x:c>
      <x:c r="L62" s="91" t="n">
        <x:f>G62*K62</x:f>
        <x:v>0</x:v>
      </x:c>
      <x:c r="M62" s="218" t="n">
        <x:v>6</x:v>
      </x:c>
      <x:c r="N62" s="91" t="n">
        <x:f>G62*M62</x:f>
        <x:v>18</x:v>
      </x:c>
      <x:c r="O62" s="218" t="n">
        <x:v>5</x:v>
      </x:c>
      <x:c r="P62" s="91" t="n">
        <x:f>G62*O62</x:f>
        <x:v>15</x:v>
      </x:c>
      <x:c r="Q62" s="91" t="n">
        <x:f>SUM(I62,K62,M62,O62)</x:f>
        <x:v>11</x:v>
      </x:c>
      <x:c r="R62" s="91" t="n">
        <x:f>H62-Q62</x:f>
        <x:v>0</x:v>
      </x:c>
      <x:c r="S62" s="91" t="n">
        <x:f>SUM(J62,L62,N62,P62)</x:f>
        <x:v>33</x:v>
      </x:c>
      <x:c r="T62" s="91" t="n">
        <x:f>G62*H62</x:f>
        <x:v>33</x:v>
      </x:c>
    </x:row>
    <x:row r="63" ht="24" customHeight="1">
      <x:c r="A63" s="78"/>
      <x:c r="B63" s="78" t="n">
        <x:v>2029</x:v>
      </x:c>
      <x:c r="C63" s="78" t="n">
        <x:v>2</x:v>
      </x:c>
      <x:c r="D63" s="78" t="n">
        <x:v>3</x:v>
      </x:c>
      <x:c r="E63" s="78" t="str">
        <x:v>공통</x:v>
      </x:c>
      <x:c r="F63" s="78" t="str">
        <x:v>융합과학 탐구</x:v>
      </x:c>
      <x:c r="G63" s="91" t="n">
        <x:f>'기존안 과목내역'!I146</x:f>
        <x:v>3</x:v>
      </x:c>
      <x:c r="H63" s="91" t="n">
        <x:f>'기존안 과목내역'!J146</x:f>
        <x:v>8</x:v>
      </x:c>
      <x:c r="I63" s="218" t="n">
        <x:v>1</x:v>
      </x:c>
      <x:c r="J63" s="91" t="n">
        <x:f>G63*I63</x:f>
        <x:v>3</x:v>
      </x:c>
      <x:c r="K63" s="218" t="n">
        <x:v>3</x:v>
      </x:c>
      <x:c r="L63" s="91" t="n">
        <x:f>G63*K63</x:f>
        <x:v>9</x:v>
      </x:c>
      <x:c r="M63" s="218" t="n">
        <x:v>2</x:v>
      </x:c>
      <x:c r="N63" s="91" t="n">
        <x:f>G63*M63</x:f>
        <x:v>6</x:v>
      </x:c>
      <x:c r="O63" s="218" t="n">
        <x:v>2</x:v>
      </x:c>
      <x:c r="P63" s="91" t="n">
        <x:f>G63*O63</x:f>
        <x:v>6</x:v>
      </x:c>
      <x:c r="Q63" s="91" t="n">
        <x:f>SUM(I63,K63,M63,O63)</x:f>
        <x:v>8</x:v>
      </x:c>
      <x:c r="R63" s="91" t="n">
        <x:f>H63-Q63</x:f>
        <x:v>0</x:v>
      </x:c>
      <x:c r="S63" s="91" t="n">
        <x:f>SUM(J63,L63,N63,P63)</x:f>
        <x:v>24</x:v>
      </x:c>
      <x:c r="T63" s="91" t="n">
        <x:f>G63*H63</x:f>
        <x:v>24</x:v>
      </x:c>
    </x:row>
    <x:row r="64" ht="24" customHeight="1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</x:row>
    <x:row r="65" ht="24" customHeight="1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</x:row>
    <x:row r="66" ht="21" customHeight="1">
      <x:c r="A66" s="78"/>
      <x:c r="B66" s="176" t="str">
        <x:v>사회 융합과목은 교육과정의 영역에 따라 배정했습니다. 통합사회는 역사·일반사회·지리·윤리에서 분담합니다.</x:v>
      </x:c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  <x:c r="S66" s="176"/>
      <x:c r="T66" s="176"/>
    </x:row>
    <x:row r="67" ht="21" customHeight="1">
      <x:c r="A67" s="78"/>
      <x:c r="B67" s="176" t="str">
        <x:v>기후변화와 환경생태는 생명과학·지구과학에서 분담합니다. 나머지 과학 공통·실험·융합은 과학 4개 교과에서 분담합니다.</x:v>
      </x:c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  <x:c r="S67" s="176"/>
      <x:c r="T67" s="176"/>
    </x:row>
    <x:row r="68" ht="21" customHeight="1">
      <x:c r="A68" s="78"/>
      <x:c r="B68" s="176" t="str">
        <x:v>배정 단위는 한 반 전체입니다. 관련 교과가 여러 개이면 자체 과목과 다른 배정 시수를 함께 고려하여 평균을 조정했습니다.</x:v>
      </x:c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  <x:c r="S68" s="176"/>
      <x:c r="T68" s="176"/>
    </x:row>
    <x:row r="69" ht="21" customHeight="1">
      <x:c r="A69" s="78"/>
      <x:c r="B69" s="176" t="str">
        <x:v>교사 수 수정 후에는 노란 칸에서 배정 반 수를 조정하세요. 회색 칸은 0으로 유지합니다. 아래에 과목별 근거를 정리했습니다.</x:v>
      </x:c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  <x:c r="S69" s="176"/>
      <x:c r="T69" s="176"/>
    </x:row>
    <x:row r="70" ht="21" customHeight="1">
      <x:c r="A70" s="78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  <x:c r="S70" s="176"/>
      <x:c r="T70" s="176"/>
    </x:row>
    <x:row r="71" ht="27" customHeight="1">
      <x:c r="A71" s="78"/>
      <x:c r="B71" s="222" t="str">
        <x:v>융합과목별 배정 기준과 교육과정 근거</x:v>
      </x:c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</x:row>
    <x:row r="72" ht="21" customHeight="1">
      <x:c r="A72" s="78"/>
      <x:c r="B72" s="176" t="str">
        <x:v>담당 교과 범위는 첨부 교육과정의 성격·내용 체계를 바탕으로 정한 이번 예상 배정안의 기준입니다.</x:v>
      </x:c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  <x:c r="S72" s="176"/>
      <x:c r="T72" s="176"/>
    </x:row>
    <x:row r="73" ht="21" customHeight="1">
      <x:c r="A73" s="78"/>
      <x:c r="B73" s="176" t="str">
        <x:v>쪽수는 문서에 인쇄된 쪽수이며 괄호 안은 PDF 파일 페이지입니다.</x:v>
      </x:c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  <x:c r="S73" s="176"/>
      <x:c r="T73" s="176"/>
    </x:row>
    <x:row r="74" ht="21" customHeight="1">
      <x:c r="A74" s="78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  <x:c r="S74" s="176"/>
      <x:c r="T74" s="176"/>
    </x:row>
    <x:row r="75" ht="21" customHeight="1">
      <x:c r="A75" s="78"/>
      <x:c r="B75" s="223" t="str">
        <x:v>여행지리  →  지리    |    장소·지역·경관과 여행을 지리적 관점에서 탐구</x:v>
      </x:c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  <x:c r="S75" s="176"/>
      <x:c r="T75" s="176"/>
    </x:row>
    <x:row r="76" ht="21" customHeight="1">
      <x:c r="A76" s="78"/>
      <x:c r="B76" s="176" t="str">
        <x:v>근거: [별책7] 사회과 교육과정 (1).pdf, 253-254 (PDF 259-260)쪽. 성격 및 목표·내용 체계.</x:v>
      </x:c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  <x:c r="S76" s="176"/>
      <x:c r="T76" s="176"/>
    </x:row>
    <x:row r="77" ht="21" customHeight="1">
      <x:c r="A77" s="78"/>
      <x:c r="B77" s="223" t="str">
        <x:v>기후변화와 지속가능한 세계  →  지리    |    자연·인문지리를 통합하여 인간과 환경의 관계 탐구</x:v>
      </x:c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  <x:c r="S77" s="176"/>
      <x:c r="T77" s="176"/>
    </x:row>
    <x:row r="78" ht="21" customHeight="1">
      <x:c r="A78" s="78"/>
      <x:c r="B78" s="176" t="str">
        <x:v>근거: [별책7] 사회과 교육과정 (1).pdf, 299-300 (PDF 305-306)쪽. 성격 및 목표·내용 체계.</x:v>
      </x:c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  <x:c r="S78" s="176"/>
      <x:c r="T78" s="176"/>
    </x:row>
    <x:row r="79" ht="21" customHeight="1">
      <x:c r="A79" s="78"/>
      <x:c r="B79" s="223" t="str">
        <x:v>금융과 경제생활  →  일반사회    |    일반사회 영역 융합 선택 과목. 금융·자산·신용·위험 관리</x:v>
      </x:c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  <x:c r="S79" s="176"/>
      <x:c r="T79" s="176"/>
    </x:row>
    <x:row r="80" ht="21" customHeight="1">
      <x:c r="A80" s="78"/>
      <x:c r="B80" s="176" t="str">
        <x:v>근거: [별책7] 사회과 교육과정 (1).pdf, 285-286 (PDF 291-292)쪽. 성격 및 목표·내용 체계.</x:v>
      </x:c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  <x:c r="S80" s="176"/>
      <x:c r="T80" s="176"/>
    </x:row>
    <x:row r="81" ht="21" customHeight="1">
      <x:c r="A81" s="78"/>
      <x:c r="B81" s="223" t="str">
        <x:v>사회문제 탐구  →  일반사회    |    일반사회 영역 융합 선택 과목. 사회과학적 문제 탐구</x:v>
      </x:c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  <x:c r="S81" s="176"/>
      <x:c r="T81" s="176"/>
    </x:row>
    <x:row r="82" ht="21" customHeight="1">
      <x:c r="A82" s="78"/>
      <x:c r="B82" s="176" t="str">
        <x:v>근거: [별책7] 사회과 교육과정 (1).pdf, 273-274 (PDF 279-280)쪽. 성격 및 목표·내용 체계.</x:v>
      </x:c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  <x:c r="S82" s="176"/>
      <x:c r="T82" s="176"/>
    </x:row>
    <x:row r="83" ht="21" customHeight="1">
      <x:c r="A83" s="78"/>
      <x:c r="B83" s="223" t="str">
        <x:v>역사로 탐구하는 현대 세계  →  역사    |    역사과 융합 선택 과목. 역사적 관점·자료 비판·해석</x:v>
      </x:c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  <x:c r="S83" s="176"/>
      <x:c r="T83" s="176"/>
    </x:row>
    <x:row r="84" ht="21" customHeight="1">
      <x:c r="A84" s="78"/>
      <x:c r="B84" s="176" t="str">
        <x:v>근거: [별책7] 사회과 교육과정 (1).pdf, 264-265 (PDF 270-271)쪽. 성격 및 목표·내용 체계.</x:v>
      </x:c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  <x:c r="S84" s="176"/>
      <x:c r="T84" s="176"/>
    </x:row>
    <x:row r="85" ht="21" customHeight="1">
      <x:c r="A85" s="78"/>
      <x:c r="B85" s="223" t="str">
        <x:v>윤리문제 탐구  →  윤리    |    도덕과 융합 선택 과목. 윤리 이론·가치 탐구·도덕적 성찰</x:v>
      </x:c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  <x:c r="S85" s="176"/>
      <x:c r="T85" s="176"/>
    </x:row>
    <x:row r="86" ht="21" customHeight="1">
      <x:c r="A86" s="78"/>
      <x:c r="B86" s="176" t="str">
        <x:v>근거: [별책6] 도덕과 교육과정 (1).pdf, 75-77 (PDF 81-83)쪽. 성격 및 목표·내용 체계.</x:v>
      </x:c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  <x:c r="S86" s="176"/>
      <x:c r="T86" s="176"/>
    </x:row>
    <x:row r="87" ht="21" customHeight="1">
      <x:c r="A87" s="78"/>
      <x:c r="B87" s="223" t="str">
        <x:v>기후변화와 환경생태  →  생명과학·지구과학    |    지구시스템·기후 변화와 육상·수생태계 변화를 함께 다룸</x:v>
      </x:c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  <x:c r="S87" s="176"/>
      <x:c r="T87" s="176"/>
    </x:row>
    <x:row r="88" ht="21" customHeight="1">
      <x:c r="A88" s="78"/>
      <x:c r="B88" s="176" t="str">
        <x:v>근거: [별책9] 과학과 교육과정 (1).pdf, 266-268 (PDF 272-274)쪽. 성격 및 목표·내용 체계.</x:v>
      </x:c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  <x:c r="S88" s="176"/>
      <x:c r="T88" s="176"/>
    </x:row>
    <x:row r="89" ht="21" customHeight="1">
      <x:c r="A89" s="78"/>
      <x:c r="B89" s="223" t="str">
        <x:v>과학의 역사와 문화  →  물리학·화학·생명과학·지구과학    |    과학 전반의 역사·문명·문화 및 과학과 인류의 미래 탐구</x:v>
      </x:c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  <x:c r="S89" s="176"/>
      <x:c r="T89" s="176"/>
    </x:row>
    <x:row r="90" ht="21" customHeight="1">
      <x:c r="A90" s="78"/>
      <x:c r="B90" s="176" t="str">
        <x:v>근거: [별책9] 과학과 교육과정 (1).pdf, 255-256 (PDF 261-262)쪽. 성격 및 목표·내용 체계.</x:v>
      </x:c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  <x:c r="S90" s="176"/>
      <x:c r="T90" s="176"/>
    </x:row>
    <x:row r="91" ht="21" customHeight="1">
      <x:c r="A91" s="78"/>
      <x:c r="B91" s="223" t="str">
        <x:v>융합과학 탐구  →  물리학·화학·생명과학·지구과학    |    자연·일상 문제에 과학 분야를 융합한 탐구 설계·수행</x:v>
      </x:c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  <x:c r="S91" s="176"/>
      <x:c r="T91" s="176"/>
    </x:row>
    <x:row r="92" ht="21" customHeight="1">
      <x:c r="A92" s="78"/>
      <x:c r="B92" s="176" t="str">
        <x:v>근거: [별책9] 과학과 교육과정 (1).pdf, 276-277 (PDF 282-283)쪽. 성격 및 목표·내용 체계.</x:v>
      </x:c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  <x:c r="S92" s="176"/>
      <x:c r="T92" s="176"/>
    </x:row>
    <x:row r="93" ht="21" customHeight="1">
      <x:c r="A93" s="78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  <x:c r="S93" s="176"/>
      <x:c r="T93" s="176"/>
    </x:row>
    <x:row r="94" ht="24" customHeight="1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</x:row>
    <x:row r="95" ht="24" customHeight="1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</x:row>
    <x:row r="96" ht="24" customHeight="1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</x:row>
    <x:row r="97" ht="24" customHeight="1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</x:row>
    <x:row r="98" ht="24" customHeight="1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</x:row>
    <x:row r="99" ht="24" customHeight="1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</x:row>
    <x:row r="100" ht="24" customHeight="1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</x:row>
  </x:sheetData>
  <x:conditionalFormatting sqref="R10:R10">
    <x:cfRule type="cellIs" dxfId="12" priority="1" operator="notEqual">
      <x:formula>0</x:formula>
    </x:cfRule>
  </x:conditionalFormatting>
  <x:conditionalFormatting sqref="R11:R11">
    <x:cfRule type="cellIs" dxfId="13" priority="2" operator="notEqual">
      <x:formula>0</x:formula>
    </x:cfRule>
  </x:conditionalFormatting>
  <x:conditionalFormatting sqref="R12:R12">
    <x:cfRule type="cellIs" dxfId="14" priority="3" operator="notEqual">
      <x:formula>0</x:formula>
    </x:cfRule>
  </x:conditionalFormatting>
  <x:conditionalFormatting sqref="R13:R13">
    <x:cfRule type="cellIs" dxfId="15" priority="4" operator="notEqual">
      <x:formula>0</x:formula>
    </x:cfRule>
  </x:conditionalFormatting>
  <x:conditionalFormatting sqref="R14:R14">
    <x:cfRule type="cellIs" dxfId="16" priority="5" operator="notEqual">
      <x:formula>0</x:formula>
    </x:cfRule>
  </x:conditionalFormatting>
  <x:conditionalFormatting sqref="R15:R15">
    <x:cfRule type="cellIs" dxfId="17" priority="6" operator="notEqual">
      <x:formula>0</x:formula>
    </x:cfRule>
  </x:conditionalFormatting>
  <x:conditionalFormatting sqref="R16:R16">
    <x:cfRule type="cellIs" dxfId="18" priority="7" operator="notEqual">
      <x:formula>0</x:formula>
    </x:cfRule>
  </x:conditionalFormatting>
  <x:conditionalFormatting sqref="R17:R17">
    <x:cfRule type="cellIs" dxfId="19" priority="8" operator="notEqual">
      <x:formula>0</x:formula>
    </x:cfRule>
  </x:conditionalFormatting>
  <x:conditionalFormatting sqref="R18:R18">
    <x:cfRule type="cellIs" dxfId="20" priority="9" operator="notEqual">
      <x:formula>0</x:formula>
    </x:cfRule>
  </x:conditionalFormatting>
  <x:conditionalFormatting sqref="R19:R19">
    <x:cfRule type="cellIs" dxfId="21" priority="10" operator="notEqual">
      <x:formula>0</x:formula>
    </x:cfRule>
  </x:conditionalFormatting>
  <x:conditionalFormatting sqref="R20:R20">
    <x:cfRule type="cellIs" dxfId="22" priority="11" operator="notEqual">
      <x:formula>0</x:formula>
    </x:cfRule>
  </x:conditionalFormatting>
  <x:conditionalFormatting sqref="R21:R21">
    <x:cfRule type="cellIs" dxfId="23" priority="12" operator="notEqual">
      <x:formula>0</x:formula>
    </x:cfRule>
  </x:conditionalFormatting>
  <x:conditionalFormatting sqref="R22:R22">
    <x:cfRule type="cellIs" dxfId="24" priority="13" operator="notEqual">
      <x:formula>0</x:formula>
    </x:cfRule>
  </x:conditionalFormatting>
  <x:conditionalFormatting sqref="R23:R23">
    <x:cfRule type="cellIs" dxfId="25" priority="14" operator="notEqual">
      <x:formula>0</x:formula>
    </x:cfRule>
  </x:conditionalFormatting>
  <x:conditionalFormatting sqref="R24:R24">
    <x:cfRule type="cellIs" dxfId="26" priority="15" operator="notEqual">
      <x:formula>0</x:formula>
    </x:cfRule>
  </x:conditionalFormatting>
  <x:conditionalFormatting sqref="R25:R25">
    <x:cfRule type="cellIs" dxfId="27" priority="16" operator="notEqual">
      <x:formula>0</x:formula>
    </x:cfRule>
  </x:conditionalFormatting>
  <x:conditionalFormatting sqref="R26:R26">
    <x:cfRule type="cellIs" dxfId="28" priority="17" operator="notEqual">
      <x:formula>0</x:formula>
    </x:cfRule>
  </x:conditionalFormatting>
  <x:conditionalFormatting sqref="R27:R27">
    <x:cfRule type="cellIs" dxfId="29" priority="18" operator="notEqual">
      <x:formula>0</x:formula>
    </x:cfRule>
  </x:conditionalFormatting>
  <x:conditionalFormatting sqref="R28:R28">
    <x:cfRule type="cellIs" dxfId="30" priority="19" operator="notEqual">
      <x:formula>0</x:formula>
    </x:cfRule>
  </x:conditionalFormatting>
  <x:conditionalFormatting sqref="R29:R29">
    <x:cfRule type="cellIs" dxfId="31" priority="20" operator="notEqual">
      <x:formula>0</x:formula>
    </x:cfRule>
  </x:conditionalFormatting>
  <x:conditionalFormatting sqref="R30:R30">
    <x:cfRule type="cellIs" dxfId="32" priority="21" operator="notEqual">
      <x:formula>0</x:formula>
    </x:cfRule>
  </x:conditionalFormatting>
  <x:conditionalFormatting sqref="R31:R31">
    <x:cfRule type="cellIs" dxfId="33" priority="22" operator="notEqual">
      <x:formula>0</x:formula>
    </x:cfRule>
  </x:conditionalFormatting>
  <x:conditionalFormatting sqref="R32:R32">
    <x:cfRule type="cellIs" dxfId="34" priority="23" operator="notEqual">
      <x:formula>0</x:formula>
    </x:cfRule>
  </x:conditionalFormatting>
  <x:conditionalFormatting sqref="R33:R33">
    <x:cfRule type="cellIs" dxfId="35" priority="24" operator="notEqual">
      <x:formula>0</x:formula>
    </x:cfRule>
  </x:conditionalFormatting>
  <x:conditionalFormatting sqref="R34:R34">
    <x:cfRule type="cellIs" dxfId="36" priority="25" operator="notEqual">
      <x:formula>0</x:formula>
    </x:cfRule>
  </x:conditionalFormatting>
  <x:conditionalFormatting sqref="R35:R35">
    <x:cfRule type="cellIs" dxfId="37" priority="26" operator="notEqual">
      <x:formula>0</x:formula>
    </x:cfRule>
  </x:conditionalFormatting>
  <x:conditionalFormatting sqref="R36:R36">
    <x:cfRule type="cellIs" dxfId="38" priority="27" operator="notEqual">
      <x:formula>0</x:formula>
    </x:cfRule>
  </x:conditionalFormatting>
  <x:conditionalFormatting sqref="R41:R41">
    <x:cfRule type="cellIs" dxfId="39" priority="28" operator="notEqual">
      <x:formula>0</x:formula>
    </x:cfRule>
  </x:conditionalFormatting>
  <x:conditionalFormatting sqref="R42:R42">
    <x:cfRule type="cellIs" dxfId="40" priority="29" operator="notEqual">
      <x:formula>0</x:formula>
    </x:cfRule>
  </x:conditionalFormatting>
  <x:conditionalFormatting sqref="R43:R43">
    <x:cfRule type="cellIs" dxfId="41" priority="30" operator="notEqual">
      <x:formula>0</x:formula>
    </x:cfRule>
  </x:conditionalFormatting>
  <x:conditionalFormatting sqref="R44:R44">
    <x:cfRule type="cellIs" dxfId="42" priority="31" operator="notEqual">
      <x:formula>0</x:formula>
    </x:cfRule>
  </x:conditionalFormatting>
  <x:conditionalFormatting sqref="R45:R45">
    <x:cfRule type="cellIs" dxfId="43" priority="32" operator="notEqual">
      <x:formula>0</x:formula>
    </x:cfRule>
  </x:conditionalFormatting>
  <x:conditionalFormatting sqref="R46:R46">
    <x:cfRule type="cellIs" dxfId="44" priority="33" operator="notEqual">
      <x:formula>0</x:formula>
    </x:cfRule>
  </x:conditionalFormatting>
  <x:conditionalFormatting sqref="R47:R47">
    <x:cfRule type="cellIs" dxfId="45" priority="34" operator="notEqual">
      <x:formula>0</x:formula>
    </x:cfRule>
  </x:conditionalFormatting>
  <x:conditionalFormatting sqref="R48:R48">
    <x:cfRule type="cellIs" dxfId="46" priority="35" operator="notEqual">
      <x:formula>0</x:formula>
    </x:cfRule>
  </x:conditionalFormatting>
  <x:conditionalFormatting sqref="R49:R49">
    <x:cfRule type="cellIs" dxfId="47" priority="36" operator="notEqual">
      <x:formula>0</x:formula>
    </x:cfRule>
  </x:conditionalFormatting>
  <x:conditionalFormatting sqref="R50:R50">
    <x:cfRule type="cellIs" dxfId="48" priority="37" operator="notEqual">
      <x:formula>0</x:formula>
    </x:cfRule>
  </x:conditionalFormatting>
  <x:conditionalFormatting sqref="R51:R51">
    <x:cfRule type="cellIs" dxfId="49" priority="38" operator="notEqual">
      <x:formula>0</x:formula>
    </x:cfRule>
  </x:conditionalFormatting>
  <x:conditionalFormatting sqref="R52:R52">
    <x:cfRule type="cellIs" dxfId="50" priority="39" operator="notEqual">
      <x:formula>0</x:formula>
    </x:cfRule>
  </x:conditionalFormatting>
  <x:conditionalFormatting sqref="R53:R53">
    <x:cfRule type="cellIs" dxfId="51" priority="40" operator="notEqual">
      <x:formula>0</x:formula>
    </x:cfRule>
  </x:conditionalFormatting>
  <x:conditionalFormatting sqref="R54:R54">
    <x:cfRule type="cellIs" dxfId="52" priority="41" operator="notEqual">
      <x:formula>0</x:formula>
    </x:cfRule>
  </x:conditionalFormatting>
  <x:conditionalFormatting sqref="R55:R55">
    <x:cfRule type="cellIs" dxfId="53" priority="42" operator="notEqual">
      <x:formula>0</x:formula>
    </x:cfRule>
  </x:conditionalFormatting>
  <x:conditionalFormatting sqref="R56:R56">
    <x:cfRule type="cellIs" dxfId="54" priority="43" operator="notEqual">
      <x:formula>0</x:formula>
    </x:cfRule>
  </x:conditionalFormatting>
  <x:conditionalFormatting sqref="R57:R57">
    <x:cfRule type="cellIs" dxfId="55" priority="44" operator="notEqual">
      <x:formula>0</x:formula>
    </x:cfRule>
  </x:conditionalFormatting>
  <x:conditionalFormatting sqref="R58:R58">
    <x:cfRule type="cellIs" dxfId="56" priority="45" operator="notEqual">
      <x:formula>0</x:formula>
    </x:cfRule>
  </x:conditionalFormatting>
  <x:conditionalFormatting sqref="R59:R59">
    <x:cfRule type="cellIs" dxfId="57" priority="46" operator="notEqual">
      <x:formula>0</x:formula>
    </x:cfRule>
  </x:conditionalFormatting>
  <x:conditionalFormatting sqref="R60:R60">
    <x:cfRule type="cellIs" dxfId="58" priority="47" operator="notEqual">
      <x:formula>0</x:formula>
    </x:cfRule>
  </x:conditionalFormatting>
  <x:conditionalFormatting sqref="R61:R61">
    <x:cfRule type="cellIs" dxfId="59" priority="48" operator="notEqual">
      <x:formula>0</x:formula>
    </x:cfRule>
  </x:conditionalFormatting>
  <x:conditionalFormatting sqref="R62:R62">
    <x:cfRule type="cellIs" dxfId="60" priority="49" operator="notEqual">
      <x:formula>0</x:formula>
    </x:cfRule>
  </x:conditionalFormatting>
  <x:conditionalFormatting sqref="R63:R63">
    <x:cfRule type="cellIs" dxfId="61" priority="50" operator="notEqual">
      <x:formula>0</x:formula>
    </x:cfRule>
  </x:conditionalFormatting>
  <x:dataValidations count="200">
    <x:dataValidation type="whole" operator="between" sqref="I10">
      <x:formula1>0</x:formula1>
      <x:formula2>100</x:formula2>
    </x:dataValidation>
    <x:dataValidation type="whole" operator="between" sqref="K10">
      <x:formula1>0</x:formula1>
      <x:formula2>100</x:formula2>
    </x:dataValidation>
    <x:dataValidation type="whole" operator="between" sqref="M10">
      <x:formula1>0</x:formula1>
      <x:formula2>100</x:formula2>
    </x:dataValidation>
    <x:dataValidation type="whole" operator="between" sqref="O10">
      <x:formula1>0</x:formula1>
      <x:formula2>100</x:formula2>
    </x:dataValidation>
    <x:dataValidation type="whole" operator="between" sqref="I11">
      <x:formula1>0</x:formula1>
      <x:formula2>0</x:formula2>
    </x:dataValidation>
    <x:dataValidation type="whole" operator="between" sqref="K11">
      <x:formula1>0</x:formula1>
      <x:formula2>100</x:formula2>
    </x:dataValidation>
    <x:dataValidation type="whole" operator="between" sqref="M11">
      <x:formula1>0</x:formula1>
      <x:formula2>0</x:formula2>
    </x:dataValidation>
    <x:dataValidation type="whole" operator="between" sqref="O11">
      <x:formula1>0</x:formula1>
      <x:formula2>0</x:formula2>
    </x:dataValidation>
    <x:dataValidation type="whole" operator="between" sqref="I12">
      <x:formula1>0</x:formula1>
      <x:formula2>0</x:formula2>
    </x:dataValidation>
    <x:dataValidation type="whole" operator="between" sqref="K12">
      <x:formula1>0</x:formula1>
      <x:formula2>0</x:formula2>
    </x:dataValidation>
    <x:dataValidation type="whole" operator="between" sqref="M12">
      <x:formula1>0</x:formula1>
      <x:formula2>100</x:formula2>
    </x:dataValidation>
    <x:dataValidation type="whole" operator="between" sqref="O12">
      <x:formula1>0</x:formula1>
      <x:formula2>0</x:formula2>
    </x:dataValidation>
    <x:dataValidation type="whole" operator="between" sqref="I13">
      <x:formula1>0</x:formula1>
      <x:formula2>0</x:formula2>
    </x:dataValidation>
    <x:dataValidation type="whole" operator="between" sqref="K13">
      <x:formula1>0</x:formula1>
      <x:formula2>100</x:formula2>
    </x:dataValidation>
    <x:dataValidation type="whole" operator="between" sqref="M13">
      <x:formula1>0</x:formula1>
      <x:formula2>0</x:formula2>
    </x:dataValidation>
    <x:dataValidation type="whole" operator="between" sqref="O13">
      <x:formula1>0</x:formula1>
      <x:formula2>0</x:formula2>
    </x:dataValidation>
    <x:dataValidation type="whole" operator="between" sqref="I14">
      <x:formula1>0</x:formula1>
      <x:formula2>0</x:formula2>
    </x:dataValidation>
    <x:dataValidation type="whole" operator="between" sqref="K14">
      <x:formula1>0</x:formula1>
      <x:formula2>0</x:formula2>
    </x:dataValidation>
    <x:dataValidation type="whole" operator="between" sqref="M14">
      <x:formula1>0</x:formula1>
      <x:formula2>100</x:formula2>
    </x:dataValidation>
    <x:dataValidation type="whole" operator="between" sqref="O14">
      <x:formula1>0</x:formula1>
      <x:formula2>0</x:formula2>
    </x:dataValidation>
    <x:dataValidation type="whole" operator="between" sqref="I15">
      <x:formula1>0</x:formula1>
      <x:formula2>100</x:formula2>
    </x:dataValidation>
    <x:dataValidation type="whole" operator="between" sqref="K15">
      <x:formula1>0</x:formula1>
      <x:formula2>0</x:formula2>
    </x:dataValidation>
    <x:dataValidation type="whole" operator="between" sqref="M15">
      <x:formula1>0</x:formula1>
      <x:formula2>0</x:formula2>
    </x:dataValidation>
    <x:dataValidation type="whole" operator="between" sqref="O15">
      <x:formula1>0</x:formula1>
      <x:formula2>0</x:formula2>
    </x:dataValidation>
    <x:dataValidation type="whole" operator="between" sqref="I16">
      <x:formula1>0</x:formula1>
      <x:formula2>0</x:formula2>
    </x:dataValidation>
    <x:dataValidation type="whole" operator="between" sqref="K16">
      <x:formula1>0</x:formula1>
      <x:formula2>0</x:formula2>
    </x:dataValidation>
    <x:dataValidation type="whole" operator="between" sqref="M16">
      <x:formula1>0</x:formula1>
      <x:formula2>0</x:formula2>
    </x:dataValidation>
    <x:dataValidation type="whole" operator="between" sqref="O16">
      <x:formula1>0</x:formula1>
      <x:formula2>100</x:formula2>
    </x:dataValidation>
    <x:dataValidation type="whole" operator="between" sqref="I17">
      <x:formula1>0</x:formula1>
      <x:formula2>100</x:formula2>
    </x:dataValidation>
    <x:dataValidation type="whole" operator="between" sqref="K17">
      <x:formula1>0</x:formula1>
      <x:formula2>100</x:formula2>
    </x:dataValidation>
    <x:dataValidation type="whole" operator="between" sqref="M17">
      <x:formula1>0</x:formula1>
      <x:formula2>100</x:formula2>
    </x:dataValidation>
    <x:dataValidation type="whole" operator="between" sqref="O17">
      <x:formula1>0</x:formula1>
      <x:formula2>100</x:formula2>
    </x:dataValidation>
    <x:dataValidation type="whole" operator="between" sqref="I18">
      <x:formula1>0</x:formula1>
      <x:formula2>0</x:formula2>
    </x:dataValidation>
    <x:dataValidation type="whole" operator="between" sqref="K18">
      <x:formula1>0</x:formula1>
      <x:formula2>100</x:formula2>
    </x:dataValidation>
    <x:dataValidation type="whole" operator="between" sqref="M18">
      <x:formula1>0</x:formula1>
      <x:formula2>0</x:formula2>
    </x:dataValidation>
    <x:dataValidation type="whole" operator="between" sqref="O18">
      <x:formula1>0</x:formula1>
      <x:formula2>0</x:formula2>
    </x:dataValidation>
    <x:dataValidation type="whole" operator="between" sqref="I19">
      <x:formula1>0</x:formula1>
      <x:formula2>0</x:formula2>
    </x:dataValidation>
    <x:dataValidation type="whole" operator="between" sqref="K19">
      <x:formula1>0</x:formula1>
      <x:formula2>100</x:formula2>
    </x:dataValidation>
    <x:dataValidation type="whole" operator="between" sqref="M19">
      <x:formula1>0</x:formula1>
      <x:formula2>0</x:formula2>
    </x:dataValidation>
    <x:dataValidation type="whole" operator="between" sqref="O19">
      <x:formula1>0</x:formula1>
      <x:formula2>0</x:formula2>
    </x:dataValidation>
    <x:dataValidation type="whole" operator="between" sqref="I20">
      <x:formula1>0</x:formula1>
      <x:formula2>0</x:formula2>
    </x:dataValidation>
    <x:dataValidation type="whole" operator="between" sqref="K20">
      <x:formula1>0</x:formula1>
      <x:formula2>0</x:formula2>
    </x:dataValidation>
    <x:dataValidation type="whole" operator="between" sqref="M20">
      <x:formula1>0</x:formula1>
      <x:formula2>100</x:formula2>
    </x:dataValidation>
    <x:dataValidation type="whole" operator="between" sqref="O20">
      <x:formula1>0</x:formula1>
      <x:formula2>0</x:formula2>
    </x:dataValidation>
    <x:dataValidation type="whole" operator="between" sqref="I21">
      <x:formula1>0</x:formula1>
      <x:formula2>100</x:formula2>
    </x:dataValidation>
    <x:dataValidation type="whole" operator="between" sqref="K21">
      <x:formula1>0</x:formula1>
      <x:formula2>100</x:formula2>
    </x:dataValidation>
    <x:dataValidation type="whole" operator="between" sqref="M21">
      <x:formula1>0</x:formula1>
      <x:formula2>100</x:formula2>
    </x:dataValidation>
    <x:dataValidation type="whole" operator="between" sqref="O21">
      <x:formula1>0</x:formula1>
      <x:formula2>100</x:formula2>
    </x:dataValidation>
    <x:dataValidation type="whole" operator="between" sqref="I22">
      <x:formula1>0</x:formula1>
      <x:formula2>0</x:formula2>
    </x:dataValidation>
    <x:dataValidation type="whole" operator="between" sqref="K22">
      <x:formula1>0</x:formula1>
      <x:formula2>0</x:formula2>
    </x:dataValidation>
    <x:dataValidation type="whole" operator="between" sqref="M22">
      <x:formula1>0</x:formula1>
      <x:formula2>100</x:formula2>
    </x:dataValidation>
    <x:dataValidation type="whole" operator="between" sqref="O22">
      <x:formula1>0</x:formula1>
      <x:formula2>0</x:formula2>
    </x:dataValidation>
    <x:dataValidation type="whole" operator="between" sqref="I23">
      <x:formula1>0</x:formula1>
      <x:formula2>0</x:formula2>
    </x:dataValidation>
    <x:dataValidation type="whole" operator="between" sqref="K23">
      <x:formula1>0</x:formula1>
      <x:formula2>100</x:formula2>
    </x:dataValidation>
    <x:dataValidation type="whole" operator="between" sqref="M23">
      <x:formula1>0</x:formula1>
      <x:formula2>0</x:formula2>
    </x:dataValidation>
    <x:dataValidation type="whole" operator="between" sqref="O23">
      <x:formula1>0</x:formula1>
      <x:formula2>0</x:formula2>
    </x:dataValidation>
    <x:dataValidation type="whole" operator="between" sqref="I24">
      <x:formula1>0</x:formula1>
      <x:formula2>100</x:formula2>
    </x:dataValidation>
    <x:dataValidation type="whole" operator="between" sqref="K24">
      <x:formula1>0</x:formula1>
      <x:formula2>0</x:formula2>
    </x:dataValidation>
    <x:dataValidation type="whole" operator="between" sqref="M24">
      <x:formula1>0</x:formula1>
      <x:formula2>0</x:formula2>
    </x:dataValidation>
    <x:dataValidation type="whole" operator="between" sqref="O24">
      <x:formula1>0</x:formula1>
      <x:formula2>0</x:formula2>
    </x:dataValidation>
    <x:dataValidation type="whole" operator="between" sqref="I25">
      <x:formula1>0</x:formula1>
      <x:formula2>100</x:formula2>
    </x:dataValidation>
    <x:dataValidation type="whole" operator="between" sqref="K25">
      <x:formula1>0</x:formula1>
      <x:formula2>100</x:formula2>
    </x:dataValidation>
    <x:dataValidation type="whole" operator="between" sqref="M25">
      <x:formula1>0</x:formula1>
      <x:formula2>100</x:formula2>
    </x:dataValidation>
    <x:dataValidation type="whole" operator="between" sqref="O25">
      <x:formula1>0</x:formula1>
      <x:formula2>100</x:formula2>
    </x:dataValidation>
    <x:dataValidation type="whole" operator="between" sqref="I26">
      <x:formula1>0</x:formula1>
      <x:formula2>0</x:formula2>
    </x:dataValidation>
    <x:dataValidation type="whole" operator="between" sqref="K26">
      <x:formula1>0</x:formula1>
      <x:formula2>100</x:formula2>
    </x:dataValidation>
    <x:dataValidation type="whole" operator="between" sqref="M26">
      <x:formula1>0</x:formula1>
      <x:formula2>0</x:formula2>
    </x:dataValidation>
    <x:dataValidation type="whole" operator="between" sqref="O26">
      <x:formula1>0</x:formula1>
      <x:formula2>0</x:formula2>
    </x:dataValidation>
    <x:dataValidation type="whole" operator="between" sqref="I27">
      <x:formula1>0</x:formula1>
      <x:formula2>0</x:formula2>
    </x:dataValidation>
    <x:dataValidation type="whole" operator="between" sqref="K27">
      <x:formula1>0</x:formula1>
      <x:formula2>0</x:formula2>
    </x:dataValidation>
    <x:dataValidation type="whole" operator="between" sqref="M27">
      <x:formula1>0</x:formula1>
      <x:formula2>100</x:formula2>
    </x:dataValidation>
    <x:dataValidation type="whole" operator="between" sqref="O27">
      <x:formula1>0</x:formula1>
      <x:formula2>0</x:formula2>
    </x:dataValidation>
    <x:dataValidation type="whole" operator="between" sqref="I28">
      <x:formula1>0</x:formula1>
      <x:formula2>0</x:formula2>
    </x:dataValidation>
    <x:dataValidation type="whole" operator="between" sqref="K28">
      <x:formula1>0</x:formula1>
      <x:formula2>0</x:formula2>
    </x:dataValidation>
    <x:dataValidation type="whole" operator="between" sqref="M28">
      <x:formula1>0</x:formula1>
      <x:formula2>0</x:formula2>
    </x:dataValidation>
    <x:dataValidation type="whole" operator="between" sqref="O28">
      <x:formula1>0</x:formula1>
      <x:formula2>100</x:formula2>
    </x:dataValidation>
    <x:dataValidation type="whole" operator="between" sqref="I29">
      <x:formula1>0</x:formula1>
      <x:formula2>100</x:formula2>
    </x:dataValidation>
    <x:dataValidation type="whole" operator="between" sqref="K29">
      <x:formula1>0</x:formula1>
      <x:formula2>100</x:formula2>
    </x:dataValidation>
    <x:dataValidation type="whole" operator="between" sqref="M29">
      <x:formula1>0</x:formula1>
      <x:formula2>100</x:formula2>
    </x:dataValidation>
    <x:dataValidation type="whole" operator="between" sqref="O29">
      <x:formula1>0</x:formula1>
      <x:formula2>100</x:formula2>
    </x:dataValidation>
    <x:dataValidation type="whole" operator="between" sqref="I30">
      <x:formula1>0</x:formula1>
      <x:formula2>100</x:formula2>
    </x:dataValidation>
    <x:dataValidation type="whole" operator="between" sqref="K30">
      <x:formula1>0</x:formula1>
      <x:formula2>0</x:formula2>
    </x:dataValidation>
    <x:dataValidation type="whole" operator="between" sqref="M30">
      <x:formula1>0</x:formula1>
      <x:formula2>0</x:formula2>
    </x:dataValidation>
    <x:dataValidation type="whole" operator="between" sqref="O30">
      <x:formula1>0</x:formula1>
      <x:formula2>0</x:formula2>
    </x:dataValidation>
    <x:dataValidation type="whole" operator="between" sqref="I31">
      <x:formula1>0</x:formula1>
      <x:formula2>100</x:formula2>
    </x:dataValidation>
    <x:dataValidation type="whole" operator="between" sqref="K31">
      <x:formula1>0</x:formula1>
      <x:formula2>100</x:formula2>
    </x:dataValidation>
    <x:dataValidation type="whole" operator="between" sqref="M31">
      <x:formula1>0</x:formula1>
      <x:formula2>100</x:formula2>
    </x:dataValidation>
    <x:dataValidation type="whole" operator="between" sqref="O31">
      <x:formula1>0</x:formula1>
      <x:formula2>100</x:formula2>
    </x:dataValidation>
    <x:dataValidation type="whole" operator="between" sqref="I32">
      <x:formula1>0</x:formula1>
      <x:formula2>100</x:formula2>
    </x:dataValidation>
    <x:dataValidation type="whole" operator="between" sqref="K32">
      <x:formula1>0</x:formula1>
      <x:formula2>0</x:formula2>
    </x:dataValidation>
    <x:dataValidation type="whole" operator="between" sqref="M32">
      <x:formula1>0</x:formula1>
      <x:formula2>0</x:formula2>
    </x:dataValidation>
    <x:dataValidation type="whole" operator="between" sqref="O32">
      <x:formula1>0</x:formula1>
      <x:formula2>0</x:formula2>
    </x:dataValidation>
    <x:dataValidation type="whole" operator="between" sqref="I33">
      <x:formula1>0</x:formula1>
      <x:formula2>100</x:formula2>
    </x:dataValidation>
    <x:dataValidation type="whole" operator="between" sqref="K33">
      <x:formula1>0</x:formula1>
      <x:formula2>100</x:formula2>
    </x:dataValidation>
    <x:dataValidation type="whole" operator="between" sqref="M33">
      <x:formula1>0</x:formula1>
      <x:formula2>100</x:formula2>
    </x:dataValidation>
    <x:dataValidation type="whole" operator="between" sqref="O33">
      <x:formula1>0</x:formula1>
      <x:formula2>100</x:formula2>
    </x:dataValidation>
    <x:dataValidation type="whole" operator="between" sqref="I34">
      <x:formula1>0</x:formula1>
      <x:formula2>0</x:formula2>
    </x:dataValidation>
    <x:dataValidation type="whole" operator="between" sqref="K34">
      <x:formula1>0</x:formula1>
      <x:formula2>100</x:formula2>
    </x:dataValidation>
    <x:dataValidation type="whole" operator="between" sqref="M34">
      <x:formula1>0</x:formula1>
      <x:formula2>0</x:formula2>
    </x:dataValidation>
    <x:dataValidation type="whole" operator="between" sqref="O34">
      <x:formula1>0</x:formula1>
      <x:formula2>0</x:formula2>
    </x:dataValidation>
    <x:dataValidation type="whole" operator="between" sqref="I35">
      <x:formula1>0</x:formula1>
      <x:formula2>0</x:formula2>
    </x:dataValidation>
    <x:dataValidation type="whole" operator="between" sqref="K35">
      <x:formula1>0</x:formula1>
      <x:formula2>0</x:formula2>
    </x:dataValidation>
    <x:dataValidation type="whole" operator="between" sqref="M35">
      <x:formula1>0</x:formula1>
      <x:formula2>100</x:formula2>
    </x:dataValidation>
    <x:dataValidation type="whole" operator="between" sqref="O35">
      <x:formula1>0</x:formula1>
      <x:formula2>0</x:formula2>
    </x:dataValidation>
    <x:dataValidation type="whole" operator="between" sqref="I36">
      <x:formula1>0</x:formula1>
      <x:formula2>0</x:formula2>
    </x:dataValidation>
    <x:dataValidation type="whole" operator="between" sqref="K36">
      <x:formula1>0</x:formula1>
      <x:formula2>0</x:formula2>
    </x:dataValidation>
    <x:dataValidation type="whole" operator="between" sqref="M36">
      <x:formula1>0</x:formula1>
      <x:formula2>0</x:formula2>
    </x:dataValidation>
    <x:dataValidation type="whole" operator="between" sqref="O36">
      <x:formula1>0</x:formula1>
      <x:formula2>100</x:formula2>
    </x:dataValidation>
    <x:dataValidation type="whole" operator="between" sqref="I41">
      <x:formula1>0</x:formula1>
      <x:formula2>100</x:formula2>
    </x:dataValidation>
    <x:dataValidation type="whole" operator="between" sqref="K41">
      <x:formula1>0</x:formula1>
      <x:formula2>100</x:formula2>
    </x:dataValidation>
    <x:dataValidation type="whole" operator="between" sqref="M41">
      <x:formula1>0</x:formula1>
      <x:formula2>100</x:formula2>
    </x:dataValidation>
    <x:dataValidation type="whole" operator="between" sqref="O41">
      <x:formula1>0</x:formula1>
      <x:formula2>100</x:formula2>
    </x:dataValidation>
    <x:dataValidation type="whole" operator="between" sqref="I42">
      <x:formula1>0</x:formula1>
      <x:formula2>100</x:formula2>
    </x:dataValidation>
    <x:dataValidation type="whole" operator="between" sqref="K42">
      <x:formula1>0</x:formula1>
      <x:formula2>100</x:formula2>
    </x:dataValidation>
    <x:dataValidation type="whole" operator="between" sqref="M42">
      <x:formula1>0</x:formula1>
      <x:formula2>100</x:formula2>
    </x:dataValidation>
    <x:dataValidation type="whole" operator="between" sqref="O42">
      <x:formula1>0</x:formula1>
      <x:formula2>100</x:formula2>
    </x:dataValidation>
    <x:dataValidation type="whole" operator="between" sqref="I43">
      <x:formula1>0</x:formula1>
      <x:formula2>100</x:formula2>
    </x:dataValidation>
    <x:dataValidation type="whole" operator="between" sqref="K43">
      <x:formula1>0</x:formula1>
      <x:formula2>100</x:formula2>
    </x:dataValidation>
    <x:dataValidation type="whole" operator="between" sqref="M43">
      <x:formula1>0</x:formula1>
      <x:formula2>100</x:formula2>
    </x:dataValidation>
    <x:dataValidation type="whole" operator="between" sqref="O43">
      <x:formula1>0</x:formula1>
      <x:formula2>100</x:formula2>
    </x:dataValidation>
    <x:dataValidation type="whole" operator="between" sqref="I44">
      <x:formula1>0</x:formula1>
      <x:formula2>100</x:formula2>
    </x:dataValidation>
    <x:dataValidation type="whole" operator="between" sqref="K44">
      <x:formula1>0</x:formula1>
      <x:formula2>100</x:formula2>
    </x:dataValidation>
    <x:dataValidation type="whole" operator="between" sqref="M44">
      <x:formula1>0</x:formula1>
      <x:formula2>100</x:formula2>
    </x:dataValidation>
    <x:dataValidation type="whole" operator="between" sqref="O44">
      <x:formula1>0</x:formula1>
      <x:formula2>100</x:formula2>
    </x:dataValidation>
    <x:dataValidation type="whole" operator="between" sqref="I45">
      <x:formula1>0</x:formula1>
      <x:formula2>100</x:formula2>
    </x:dataValidation>
    <x:dataValidation type="whole" operator="between" sqref="K45">
      <x:formula1>0</x:formula1>
      <x:formula2>100</x:formula2>
    </x:dataValidation>
    <x:dataValidation type="whole" operator="between" sqref="M45">
      <x:formula1>0</x:formula1>
      <x:formula2>100</x:formula2>
    </x:dataValidation>
    <x:dataValidation type="whole" operator="between" sqref="O45">
      <x:formula1>0</x:formula1>
      <x:formula2>100</x:formula2>
    </x:dataValidation>
    <x:dataValidation type="whole" operator="between" sqref="I46">
      <x:formula1>0</x:formula1>
      <x:formula2>0</x:formula2>
    </x:dataValidation>
    <x:dataValidation type="whole" operator="between" sqref="K46">
      <x:formula1>0</x:formula1>
      <x:formula2>0</x:formula2>
    </x:dataValidation>
    <x:dataValidation type="whole" operator="between" sqref="M46">
      <x:formula1>0</x:formula1>
      <x:formula2>100</x:formula2>
    </x:dataValidation>
    <x:dataValidation type="whole" operator="between" sqref="O46">
      <x:formula1>0</x:formula1>
      <x:formula2>100</x:formula2>
    </x:dataValidation>
    <x:dataValidation type="whole" operator="between" sqref="I47">
      <x:formula1>0</x:formula1>
      <x:formula2>100</x:formula2>
    </x:dataValidation>
    <x:dataValidation type="whole" operator="between" sqref="K47">
      <x:formula1>0</x:formula1>
      <x:formula2>100</x:formula2>
    </x:dataValidation>
    <x:dataValidation type="whole" operator="between" sqref="M47">
      <x:formula1>0</x:formula1>
      <x:formula2>100</x:formula2>
    </x:dataValidation>
    <x:dataValidation type="whole" operator="between" sqref="O47">
      <x:formula1>0</x:formula1>
      <x:formula2>100</x:formula2>
    </x:dataValidation>
    <x:dataValidation type="whole" operator="between" sqref="I48">
      <x:formula1>0</x:formula1>
      <x:formula2>100</x:formula2>
    </x:dataValidation>
    <x:dataValidation type="whole" operator="between" sqref="K48">
      <x:formula1>0</x:formula1>
      <x:formula2>100</x:formula2>
    </x:dataValidation>
    <x:dataValidation type="whole" operator="between" sqref="M48">
      <x:formula1>0</x:formula1>
      <x:formula2>100</x:formula2>
    </x:dataValidation>
    <x:dataValidation type="whole" operator="between" sqref="O48">
      <x:formula1>0</x:formula1>
      <x:formula2>100</x:formula2>
    </x:dataValidation>
    <x:dataValidation type="whole" operator="between" sqref="I49">
      <x:formula1>0</x:formula1>
      <x:formula2>100</x:formula2>
    </x:dataValidation>
    <x:dataValidation type="whole" operator="between" sqref="K49">
      <x:formula1>0</x:formula1>
      <x:formula2>100</x:formula2>
    </x:dataValidation>
    <x:dataValidation type="whole" operator="between" sqref="M49">
      <x:formula1>0</x:formula1>
      <x:formula2>100</x:formula2>
    </x:dataValidation>
    <x:dataValidation type="whole" operator="between" sqref="O49">
      <x:formula1>0</x:formula1>
      <x:formula2>100</x:formula2>
    </x:dataValidation>
    <x:dataValidation type="whole" operator="between" sqref="I50">
      <x:formula1>0</x:formula1>
      <x:formula2>100</x:formula2>
    </x:dataValidation>
    <x:dataValidation type="whole" operator="between" sqref="K50">
      <x:formula1>0</x:formula1>
      <x:formula2>100</x:formula2>
    </x:dataValidation>
    <x:dataValidation type="whole" operator="between" sqref="M50">
      <x:formula1>0</x:formula1>
      <x:formula2>100</x:formula2>
    </x:dataValidation>
    <x:dataValidation type="whole" operator="between" sqref="O50">
      <x:formula1>0</x:formula1>
      <x:formula2>100</x:formula2>
    </x:dataValidation>
    <x:dataValidation type="whole" operator="between" sqref="I51">
      <x:formula1>0</x:formula1>
      <x:formula2>100</x:formula2>
    </x:dataValidation>
    <x:dataValidation type="whole" operator="between" sqref="K51">
      <x:formula1>0</x:formula1>
      <x:formula2>100</x:formula2>
    </x:dataValidation>
    <x:dataValidation type="whole" operator="between" sqref="M51">
      <x:formula1>0</x:formula1>
      <x:formula2>100</x:formula2>
    </x:dataValidation>
    <x:dataValidation type="whole" operator="between" sqref="O51">
      <x:formula1>0</x:formula1>
      <x:formula2>100</x:formula2>
    </x:dataValidation>
    <x:dataValidation type="whole" operator="between" sqref="I52">
      <x:formula1>0</x:formula1>
      <x:formula2>100</x:formula2>
    </x:dataValidation>
    <x:dataValidation type="whole" operator="between" sqref="K52">
      <x:formula1>0</x:formula1>
      <x:formula2>100</x:formula2>
    </x:dataValidation>
    <x:dataValidation type="whole" operator="between" sqref="M52">
      <x:formula1>0</x:formula1>
      <x:formula2>100</x:formula2>
    </x:dataValidation>
    <x:dataValidation type="whole" operator="between" sqref="O52">
      <x:formula1>0</x:formula1>
      <x:formula2>100</x:formula2>
    </x:dataValidation>
    <x:dataValidation type="whole" operator="between" sqref="I53">
      <x:formula1>0</x:formula1>
      <x:formula2>0</x:formula2>
    </x:dataValidation>
    <x:dataValidation type="whole" operator="between" sqref="K53">
      <x:formula1>0</x:formula1>
      <x:formula2>0</x:formula2>
    </x:dataValidation>
    <x:dataValidation type="whole" operator="between" sqref="M53">
      <x:formula1>0</x:formula1>
      <x:formula2>100</x:formula2>
    </x:dataValidation>
    <x:dataValidation type="whole" operator="between" sqref="O53">
      <x:formula1>0</x:formula1>
      <x:formula2>100</x:formula2>
    </x:dataValidation>
    <x:dataValidation type="whole" operator="between" sqref="I54">
      <x:formula1>0</x:formula1>
      <x:formula2>100</x:formula2>
    </x:dataValidation>
    <x:dataValidation type="whole" operator="between" sqref="K54">
      <x:formula1>0</x:formula1>
      <x:formula2>100</x:formula2>
    </x:dataValidation>
    <x:dataValidation type="whole" operator="between" sqref="M54">
      <x:formula1>0</x:formula1>
      <x:formula2>100</x:formula2>
    </x:dataValidation>
    <x:dataValidation type="whole" operator="between" sqref="O54">
      <x:formula1>0</x:formula1>
      <x:formula2>100</x:formula2>
    </x:dataValidation>
    <x:dataValidation type="whole" operator="between" sqref="I55">
      <x:formula1>0</x:formula1>
      <x:formula2>100</x:formula2>
    </x:dataValidation>
    <x:dataValidation type="whole" operator="between" sqref="K55">
      <x:formula1>0</x:formula1>
      <x:formula2>100</x:formula2>
    </x:dataValidation>
    <x:dataValidation type="whole" operator="between" sqref="M55">
      <x:formula1>0</x:formula1>
      <x:formula2>100</x:formula2>
    </x:dataValidation>
    <x:dataValidation type="whole" operator="between" sqref="O55">
      <x:formula1>0</x:formula1>
      <x:formula2>100</x:formula2>
    </x:dataValidation>
    <x:dataValidation type="whole" operator="between" sqref="I56">
      <x:formula1>0</x:formula1>
      <x:formula2>100</x:formula2>
    </x:dataValidation>
    <x:dataValidation type="whole" operator="between" sqref="K56">
      <x:formula1>0</x:formula1>
      <x:formula2>100</x:formula2>
    </x:dataValidation>
    <x:dataValidation type="whole" operator="between" sqref="M56">
      <x:formula1>0</x:formula1>
      <x:formula2>100</x:formula2>
    </x:dataValidation>
    <x:dataValidation type="whole" operator="between" sqref="O56">
      <x:formula1>0</x:formula1>
      <x:formula2>100</x:formula2>
    </x:dataValidation>
    <x:dataValidation type="whole" operator="between" sqref="I57">
      <x:formula1>0</x:formula1>
      <x:formula2>100</x:formula2>
    </x:dataValidation>
    <x:dataValidation type="whole" operator="between" sqref="K57">
      <x:formula1>0</x:formula1>
      <x:formula2>100</x:formula2>
    </x:dataValidation>
    <x:dataValidation type="whole" operator="between" sqref="M57">
      <x:formula1>0</x:formula1>
      <x:formula2>100</x:formula2>
    </x:dataValidation>
    <x:dataValidation type="whole" operator="between" sqref="O57">
      <x:formula1>0</x:formula1>
      <x:formula2>100</x:formula2>
    </x:dataValidation>
    <x:dataValidation type="whole" operator="between" sqref="I58">
      <x:formula1>0</x:formula1>
      <x:formula2>100</x:formula2>
    </x:dataValidation>
    <x:dataValidation type="whole" operator="between" sqref="K58">
      <x:formula1>0</x:formula1>
      <x:formula2>100</x:formula2>
    </x:dataValidation>
    <x:dataValidation type="whole" operator="between" sqref="M58">
      <x:formula1>0</x:formula1>
      <x:formula2>100</x:formula2>
    </x:dataValidation>
    <x:dataValidation type="whole" operator="between" sqref="O58">
      <x:formula1>0</x:formula1>
      <x:formula2>100</x:formula2>
    </x:dataValidation>
    <x:dataValidation type="whole" operator="between" sqref="I59">
      <x:formula1>0</x:formula1>
      <x:formula2>100</x:formula2>
    </x:dataValidation>
    <x:dataValidation type="whole" operator="between" sqref="K59">
      <x:formula1>0</x:formula1>
      <x:formula2>100</x:formula2>
    </x:dataValidation>
    <x:dataValidation type="whole" operator="between" sqref="M59">
      <x:formula1>0</x:formula1>
      <x:formula2>100</x:formula2>
    </x:dataValidation>
    <x:dataValidation type="whole" operator="between" sqref="O59">
      <x:formula1>0</x:formula1>
      <x:formula2>100</x:formula2>
    </x:dataValidation>
    <x:dataValidation type="whole" operator="between" sqref="I60">
      <x:formula1>0</x:formula1>
      <x:formula2>100</x:formula2>
    </x:dataValidation>
    <x:dataValidation type="whole" operator="between" sqref="K60">
      <x:formula1>0</x:formula1>
      <x:formula2>100</x:formula2>
    </x:dataValidation>
    <x:dataValidation type="whole" operator="between" sqref="M60">
      <x:formula1>0</x:formula1>
      <x:formula2>100</x:formula2>
    </x:dataValidation>
    <x:dataValidation type="whole" operator="between" sqref="O60">
      <x:formula1>0</x:formula1>
      <x:formula2>100</x:formula2>
    </x:dataValidation>
    <x:dataValidation type="whole" operator="between" sqref="I61">
      <x:formula1>0</x:formula1>
      <x:formula2>100</x:formula2>
    </x:dataValidation>
    <x:dataValidation type="whole" operator="between" sqref="K61">
      <x:formula1>0</x:formula1>
      <x:formula2>100</x:formula2>
    </x:dataValidation>
    <x:dataValidation type="whole" operator="between" sqref="M61">
      <x:formula1>0</x:formula1>
      <x:formula2>100</x:formula2>
    </x:dataValidation>
    <x:dataValidation type="whole" operator="between" sqref="O61">
      <x:formula1>0</x:formula1>
      <x:formula2>100</x:formula2>
    </x:dataValidation>
    <x:dataValidation type="whole" operator="between" sqref="I62">
      <x:formula1>0</x:formula1>
      <x:formula2>0</x:formula2>
    </x:dataValidation>
    <x:dataValidation type="whole" operator="between" sqref="K62">
      <x:formula1>0</x:formula1>
      <x:formula2>0</x:formula2>
    </x:dataValidation>
    <x:dataValidation type="whole" operator="between" sqref="M62">
      <x:formula1>0</x:formula1>
      <x:formula2>100</x:formula2>
    </x:dataValidation>
    <x:dataValidation type="whole" operator="between" sqref="O62">
      <x:formula1>0</x:formula1>
      <x:formula2>100</x:formula2>
    </x:dataValidation>
    <x:dataValidation type="whole" operator="between" sqref="I63">
      <x:formula1>0</x:formula1>
      <x:formula2>100</x:formula2>
    </x:dataValidation>
    <x:dataValidation type="whole" operator="between" sqref="K63">
      <x:formula1>0</x:formula1>
      <x:formula2>100</x:formula2>
    </x:dataValidation>
    <x:dataValidation type="whole" operator="between" sqref="M63">
      <x:formula1>0</x:formula1>
      <x:formula2>100</x:formula2>
    </x:dataValidation>
    <x:dataValidation type="whole" operator="between" sqref="O63">
      <x:formula1>0</x:formula1>
      <x:formula2>100</x:formula2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C3973B"/>
  </x:sheetPr>
  <x:sheetViews>
    <x:sheetView showGridLines="0" workbookViewId="0" tabSelected="0">
      <x:pane xSplit="2" ySplit="5" topLeftCell="C6" activePane="bottomRight" state="frozen"/>
    </x:sheetView>
  </x:sheetViews>
  <x:sheetFormatPr defaultRowHeight="15"/>
  <x:cols>
    <x:col min="1" max="1" width="2.5" hidden="0" customWidth="1"/>
    <x:col min="2" max="2" width="31.8799991607666" hidden="0" customWidth="1"/>
    <x:col min="3" max="3" width="13.75" hidden="0" customWidth="1"/>
    <x:col min="4" max="4" width="10.630000114440918" hidden="0" customWidth="1"/>
    <x:col min="5" max="5" width="11.25" hidden="0" customWidth="1"/>
    <x:col min="6" max="6" width="11.25" hidden="0" customWidth="1"/>
    <x:col min="7" max="7" width="11.25" hidden="0" customWidth="1"/>
    <x:col min="8" max="8" width="8.75" hidden="0" customWidth="1"/>
    <x:col min="9" max="9" width="11.25" hidden="0" customWidth="1"/>
    <x:col min="10" max="10" width="8.75" hidden="0" customWidth="1"/>
    <x:col min="11" max="11" width="10.630000114440918" hidden="0" customWidth="1"/>
    <x:col min="12" max="12" width="8.75" hidden="0" customWidth="1"/>
    <x:col min="13" max="13" width="11.25" hidden="0" customWidth="1"/>
    <x:col min="14" max="14" width="10.630000114440918" hidden="0" customWidth="1"/>
  </x:cols>
  <x:sheetData>
    <x:row r="1" ht="23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33" customHeight="1">
      <x:c r="A2" s="176"/>
      <x:c r="B2" s="177" t="str">
        <x:v>경제·윤리 수요 보정과 선택군 반 수 재배분</x:v>
      </x:c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</x:row>
    <x:row r="3" ht="23" customHeight="1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  <x:c r="M3" s="176"/>
      <x:c r="N3" s="176"/>
    </x:row>
    <x:row r="4" ht="23" customHeight="1">
      <x:c r="A4" s="176"/>
      <x:c r="B4" s="176" t="str">
        <x:v>선이수에 따른 중복 선택 회피를 고려하여, 2028·2029년 예상에 경제 57명·윤리와 사상 99명의 수요를 반영했습니다.</x:v>
      </x:c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</x:row>
    <x:row r="5" ht="23" customHeight="1">
      <x:c r="A5" s="176"/>
      <x:c r="B5" s="176" t="str">
        <x:v>기존안·변경안은 세계 문화와 영어 이동 전·후를 뜻합니다. 아래의 보정 전·후는 이번 경제 수요 반영 전·후입니다.</x:v>
      </x:c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</x:row>
    <x:row r="6" ht="23" customHeight="1">
      <x:c r="A6" s="176"/>
      <x:c r="B6" s="254" t="str">
        <x:v>참고값</x:v>
      </x:c>
      <x:c r="C6" s="254" t="str">
        <x:v>값</x:v>
      </x:c>
      <x:c r="D6" s="176"/>
      <x:c r="E6" s="176"/>
      <x:c r="F6" s="176"/>
      <x:c r="G6" s="176"/>
      <x:c r="H6" s="176"/>
      <x:c r="I6" s="176"/>
      <x:c r="J6" s="176"/>
      <x:c r="K6" s="176"/>
      <x:c r="L6" s="176"/>
      <x:c r="M6" s="176"/>
      <x:c r="N6" s="176"/>
    </x:row>
    <x:row r="7" ht="23" customHeight="1">
      <x:c r="A7" s="176"/>
      <x:c r="B7" s="176" t="str">
        <x:v>경제 신청인원</x:v>
      </x:c>
      <x:c r="C7" s="257" t="n">
        <x:v>57</x:v>
      </x:c>
      <x:c r="D7" s="176"/>
      <x:c r="E7" s="176" t="str">
        <x:v>출처: 사용자 제공, 2026년 2학년 2학기 경제 약 57명 (2026.10.20.).</x:v>
      </x:c>
      <x:c r="F7" s="176"/>
      <x:c r="G7" s="176"/>
      <x:c r="H7" s="176"/>
      <x:c r="I7" s="176"/>
      <x:c r="J7" s="176"/>
      <x:c r="K7" s="176"/>
      <x:c r="L7" s="176"/>
      <x:c r="M7" s="176"/>
      <x:c r="N7" s="176"/>
    </x:row>
    <x:row r="8" ht="23" customHeight="1">
      <x:c r="A8" s="176"/>
      <x:c r="B8" s="176" t="str">
        <x:v>같은 입학년도 선택 참여인원</x:v>
      </x:c>
      <x:c r="C8" s="257" t="n">
        <x:v>239</x:v>
      </x:c>
      <x:c r="D8" s="176"/>
      <x:c r="E8" s="176" t="str">
        <x:v>239명: 선택인원 파일의 2학년=&gt;3학년 W4:W6 합계. 같은 코호트의 차년도 참여인원을 참고 모수로 사용.</x:v>
      </x:c>
      <x:c r="F8" s="176"/>
      <x:c r="G8" s="176"/>
      <x:c r="H8" s="176"/>
      <x:c r="I8" s="176"/>
      <x:c r="J8" s="176"/>
      <x:c r="K8" s="176"/>
      <x:c r="L8" s="176"/>
      <x:c r="M8" s="176"/>
      <x:c r="N8" s="176"/>
    </x:row>
    <x:row r="9" ht="23" customHeight="1">
      <x:c r="A9" s="176"/>
      <x:c r="B9" s="176" t="str">
        <x:v>참고 선택군의 선택 수</x:v>
      </x:c>
      <x:c r="C9" s="258" t="n">
        <x:v>3</x:v>
      </x:c>
      <x:c r="D9" s="176"/>
      <x:c r="E9" s="176" t="str">
        <x:v>출처: 사용자 제공 택3. 57 ÷ 239 ÷ 3 = 약 7.95%. 11과목의 당시 전체 신청내역은 미확인.</x:v>
      </x:c>
      <x:c r="F9" s="176"/>
      <x:c r="G9" s="176"/>
      <x:c r="H9" s="176"/>
      <x:c r="I9" s="176"/>
      <x:c r="J9" s="176"/>
      <x:c r="K9" s="176"/>
      <x:c r="L9" s="176"/>
      <x:c r="M9" s="176"/>
      <x:c r="N9" s="176"/>
    </x:row>
    <x:row r="10" ht="23" customHeight="1">
      <x:c r="A10" s="176"/>
      <x:c r="B10" s="176" t="str">
        <x:v>경제의 선택 건수 비중</x:v>
      </x:c>
      <x:c r="C10" s="255" t="n">
        <x:f>IF(OR(COUNT(C7:C9)&lt;&gt;3,C8&lt;=0,C9&lt;=0),"미정",C7/(C8*C9))</x:f>
        <x:v>0.0794979079497908</x:v>
      </x:c>
      <x:c r="D10" s="176"/>
      <x:c r="E10" s="176"/>
      <x:c r="F10" s="176"/>
      <x:c r="G10" s="176"/>
      <x:c r="H10" s="176"/>
      <x:c r="I10" s="176"/>
      <x:c r="J10" s="176"/>
      <x:c r="K10" s="176"/>
      <x:c r="L10" s="176"/>
      <x:c r="M10" s="176"/>
      <x:c r="N10" s="176"/>
    </x:row>
    <x:row r="11" ht="23" customHeight="1">
      <x:c r="A11" s="176"/>
      <x:c r="B11" s="176" t="str">
        <x:v>윤리와 사상 신청인원</x:v>
      </x:c>
      <x:c r="C11" s="256" t="n">
        <x:v>99</x:v>
      </x:c>
      <x:c r="D11" s="176"/>
      <x:c r="E11" s="176" t="str">
        <x:v>출처: 사용자 제공, 같은 택3 선택군의 윤리와 사상 99명 (2026.10.20.).</x:v>
      </x:c>
      <x:c r="F11" s="176"/>
      <x:c r="G11" s="176"/>
      <x:c r="H11" s="176"/>
      <x:c r="I11" s="176"/>
      <x:c r="J11" s="176"/>
      <x:c r="K11" s="176"/>
      <x:c r="L11" s="176"/>
      <x:c r="M11" s="176"/>
      <x:c r="N11" s="176"/>
    </x:row>
    <x:row r="12" ht="23" customHeight="1">
      <x:c r="A12" s="176"/>
      <x:c r="B12" s="176" t="str">
        <x:v>윤리와 사상의 선택 건수 비중</x:v>
      </x:c>
      <x:c r="C12" s="255" t="n">
        <x:f>C11/(C8*C9)</x:f>
        <x:v>0.13807531380753138</x:v>
      </x:c>
      <x:c r="D12" s="176"/>
      <x:c r="E12" s="176" t="str">
        <x:v>99 ÷ 239 ÷ 3 = 약 13.81%. 이 비중을 2028·2029년 2학년 2학기 택3 예상에 적용했습니다.</x:v>
      </x:c>
      <x:c r="F12" s="176"/>
      <x:c r="G12" s="176"/>
      <x:c r="H12" s="176"/>
      <x:c r="I12" s="176"/>
      <x:c r="J12" s="176"/>
      <x:c r="K12" s="176"/>
      <x:c r="L12" s="176"/>
      <x:c r="M12" s="176"/>
      <x:c r="N12" s="176"/>
    </x:row>
    <x:row r="13" ht="23" customHeight="1">
      <x:c r="A13" s="176"/>
      <x:c r="B13" s="176"/>
      <x:c r="C13" s="176"/>
      <x:c r="D13" s="176"/>
      <x:c r="E13" s="176"/>
      <x:c r="F13" s="176"/>
      <x:c r="G13" s="176"/>
      <x:c r="H13" s="176"/>
      <x:c r="I13" s="176"/>
      <x:c r="J13" s="176"/>
      <x:c r="K13" s="176"/>
      <x:c r="L13" s="176"/>
      <x:c r="M13" s="176"/>
      <x:c r="N13" s="176"/>
    </x:row>
    <x:row r="14" ht="23" customHeight="1">
      <x:c r="A14" s="176"/>
      <x:c r="B14" s="176" t="str">
        <x:v>보정 과목 이외의 기존 비율을 유지하고 선택군 총반수 안에서 다시 배분했습니다. 새 과목의 기존 평균 가정도 유지했습니다.</x:v>
      </x:c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</x:row>
    <x:row r="15" ht="23" customHeight="1">
      <x:c r="A15" s="176"/>
      <x:c r="B15" s="176" t="str">
        <x:v>노란 칸 수정 시 아래 반 수는 재계산됩니다. 공통·융합 배정 반 수와 인쇄 과목 목록은 별도로 확인·조정해야 합니다.</x:v>
      </x:c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6"/>
      <x:c r="M15" s="176"/>
      <x:c r="N15" s="176"/>
    </x:row>
    <x:row r="16" ht="23" customHeight="1">
      <x:c r="A16" s="176"/>
      <x:c r="B16" s="176" t="str">
        <x:v>윤리와 사상은 2026·2027 입학생 모두 2학년 2학기에만 편성됩니다. 2027년 실제 신청자료 180명은 유지했습니다.</x:v>
      </x:c>
      <x:c r="C16" s="176"/>
      <x:c r="D16" s="176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</x:row>
    <x:row r="17" ht="23" customHeight="1">
      <x:c r="A17" s="176"/>
      <x:c r="B17" s="176"/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6"/>
      <x:c r="M17" s="176"/>
      <x:c r="N17" s="176"/>
    </x:row>
    <x:row r="18" ht="23" customHeight="1">
      <x:c r="A18" s="176"/>
      <x:c r="B18" s="176"/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</x:row>
    <x:row r="19" ht="23" customHeight="1">
      <x:c r="A19" s="176"/>
      <x:c r="B19" s="176"/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6"/>
      <x:c r="N19" s="176"/>
    </x:row>
    <x:row r="20" ht="28" customHeight="1">
      <x:c r="A20" s="176"/>
      <x:c r="B20" s="260" t="str">
        <x:v>2028학년도 3학년 1학기 기존안</x:v>
      </x:c>
      <x:c r="C20" s="260"/>
      <x:c r="D20" s="260"/>
      <x:c r="E20" s="260"/>
      <x:c r="F20" s="260" t="str">
        <x:v>택4 · 13학급</x:v>
      </x:c>
      <x:c r="G20" s="260"/>
      <x:c r="H20" s="260"/>
      <x:c r="I20" s="260" t="str">
        <x:v>목표 반 수</x:v>
      </x:c>
      <x:c r="J20" s="260"/>
      <x:c r="K20" s="260" t="n">
        <x:f>13*4</x:f>
        <x:v>52</x:v>
      </x:c>
      <x:c r="L20" s="260" t="str">
        <x:v>반 수 차이</x:v>
      </x:c>
      <x:c r="M20" s="260"/>
      <x:c r="N20" s="260" t="n">
        <x:f>SUM(K23:K35)-K20</x:f>
        <x:v>0</x:v>
      </x:c>
    </x:row>
    <x:row r="21" ht="23" customHeight="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6"/>
      <x:c r="N21" s="176"/>
    </x:row>
    <x:row r="22" ht="34" customHeight="1">
      <x:c r="A22" s="176"/>
      <x:c r="B22" s="264" t="str">
        <x:v>과목명</x:v>
      </x:c>
      <x:c r="C22" s="264" t="str">
        <x:v>담당 교과</x:v>
      </x:c>
      <x:c r="D22" s="264" t="str">
        <x:v>보정 전
반 수</x:v>
      </x:c>
      <x:c r="E22" s="264" t="str">
        <x:v>기존
가중치</x:v>
      </x:c>
      <x:c r="F22" s="264" t="str">
        <x:v>보정
가중치</x:v>
      </x:c>
      <x:c r="G22" s="264" t="str">
        <x:v>배분값
(반)</x:v>
      </x:c>
      <x:c r="H22" s="264" t="str">
        <x:v>내림값</x:v>
      </x:c>
      <x:c r="I22" s="264" t="str">
        <x:v>소수 부분</x:v>
      </x:c>
      <x:c r="J22" s="264" t="str">
        <x:v>추가
순위</x:v>
      </x:c>
      <x:c r="K22" s="264" t="str">
        <x:v>보정 후
반 수</x:v>
      </x:c>
      <x:c r="L22" s="264" t="str">
        <x:v>반당
시수</x:v>
      </x:c>
      <x:c r="M22" s="264" t="str">
        <x:v>보정 후
시수</x:v>
      </x:c>
      <x:c r="N22" s="264" t="str">
        <x:v>반 수
증감</x:v>
      </x:c>
    </x:row>
    <x:row r="23" ht="23" customHeight="1">
      <x:c r="A23" s="176"/>
      <x:c r="B23" s="265" t="str">
        <x:v>인공지능 수학</x:v>
      </x:c>
      <x:c r="C23" s="265" t="str">
        <x:v>수학</x:v>
      </x:c>
      <x:c r="D23" s="270" t="n">
        <x:v>4</x:v>
      </x:c>
      <x:c r="E23" s="272" t="n">
        <x:v>3.4166666666666665</x:v>
      </x:c>
      <x:c r="F23" s="272" t="n">
        <x:f>E23</x:f>
        <x:v>3.4166666666666665</x:v>
      </x:c>
      <x:c r="G23" s="272" t="n">
        <x:f>$K$20*F23/SUM($F$23:$F$35)</x:f>
        <x:v>3.6820083682008367</x:v>
      </x:c>
      <x:c r="H23" s="270" t="n">
        <x:f>INT(G23)</x:f>
        <x:v>3</x:v>
      </x:c>
      <x:c r="I23" s="274" t="n">
        <x:f>ROUND(G23-H23,12)</x:f>
        <x:v>0.682008368201</x:v>
      </x:c>
      <x:c r="J23" s="270" t="n">
        <x:f>COUNTIF($I$23:$I$35,"&gt;"&amp;I23)+COUNTIF($I$23:I23,I23)</x:f>
        <x:v>1</x:v>
      </x:c>
      <x:c r="K23" s="270" t="n">
        <x:f>H23+IF(J23&lt;=$K$20-SUM($H$23:$H$35),1,0)</x:f>
        <x:v>4</x:v>
      </x:c>
      <x:c r="L23" s="270" t="n">
        <x:v>3</x:v>
      </x:c>
      <x:c r="M23" s="270" t="n">
        <x:f>K23*L23</x:f>
        <x:v>12</x:v>
      </x:c>
      <x:c r="N23" s="276" t="n">
        <x:f>K23-D23</x:f>
        <x:v>0</x:v>
      </x:c>
    </x:row>
    <x:row r="24" ht="23" customHeight="1">
      <x:c r="A24" s="176"/>
      <x:c r="B24" s="265" t="str">
        <x:v>도시의 미래 탐구</x:v>
      </x:c>
      <x:c r="C24" s="265" t="str">
        <x:v>지리</x:v>
      </x:c>
      <x:c r="D24" s="270" t="n">
        <x:v>6</x:v>
      </x:c>
      <x:c r="E24" s="272" t="n">
        <x:v>5</x:v>
      </x:c>
      <x:c r="F24" s="272" t="n">
        <x:f>E24</x:f>
        <x:v>5</x:v>
      </x:c>
      <x:c r="G24" s="272" t="n">
        <x:f>$K$20*F24/SUM($F$23:$F$35)</x:f>
        <x:v>5.388304929074396</x:v>
      </x:c>
      <x:c r="H24" s="270" t="n">
        <x:f>INT(G24)</x:f>
        <x:v>5</x:v>
      </x:c>
      <x:c r="I24" s="274" t="n">
        <x:f>ROUND(G24-H24,12)</x:f>
        <x:v>0.388304929074</x:v>
      </x:c>
      <x:c r="J24" s="270" t="n">
        <x:f>COUNTIF($I$23:$I$35,"&gt;"&amp;I24)+COUNTIF($I$23:I24,I24)</x:f>
        <x:v>4</x:v>
      </x:c>
      <x:c r="K24" s="270" t="n">
        <x:f>H24+IF(J24&lt;=$K$20-SUM($H$23:$H$35),1,0)</x:f>
        <x:v>6</x:v>
      </x:c>
      <x:c r="L24" s="270" t="n">
        <x:v>3</x:v>
      </x:c>
      <x:c r="M24" s="270" t="n">
        <x:f>K24*L24</x:f>
        <x:v>18</x:v>
      </x:c>
      <x:c r="N24" s="276" t="n">
        <x:f>K24-D24</x:f>
        <x:v>0</x:v>
      </x:c>
    </x:row>
    <x:row r="25" ht="23" customHeight="1">
      <x:c r="A25" s="176"/>
      <x:c r="B25" s="267" t="str">
        <x:v>경제</x:v>
      </x:c>
      <x:c r="C25" s="267" t="str">
        <x:v>일반사회</x:v>
      </x:c>
      <x:c r="D25" s="271" t="n">
        <x:v>0</x:v>
      </x:c>
      <x:c r="E25" s="273" t="n">
        <x:v>0</x:v>
      </x:c>
      <x:c r="F25" s="273" t="n">
        <x:f>(SUM($E$23:$E$35)-E25)*$C$10/(1-$C$10)</x:f>
        <x:v>3.8359848484848484</x:v>
      </x:c>
      <x:c r="G25" s="273" t="n">
        <x:f>$K$20*F25/SUM($F$23:$F$35)</x:f>
        <x:v>4.133891213389122</x:v>
      </x:c>
      <x:c r="H25" s="271" t="n">
        <x:f>INT(G25)</x:f>
        <x:v>4</x:v>
      </x:c>
      <x:c r="I25" s="275" t="n">
        <x:f>ROUND(G25-H25,12)</x:f>
        <x:v>0.133891213389</x:v>
      </x:c>
      <x:c r="J25" s="271" t="n">
        <x:f>COUNTIF($I$23:$I$35,"&gt;"&amp;I25)+COUNTIF($I$23:I25,I25)</x:f>
        <x:v>12</x:v>
      </x:c>
      <x:c r="K25" s="271" t="n">
        <x:f>H25+IF(J25&lt;=$K$20-SUM($H$23:$H$35),1,0)</x:f>
        <x:v>4</x:v>
      </x:c>
      <x:c r="L25" s="271" t="n">
        <x:v>3</x:v>
      </x:c>
      <x:c r="M25" s="271" t="n">
        <x:f>K25*L25</x:f>
        <x:v>12</x:v>
      </x:c>
      <x:c r="N25" s="277" t="n">
        <x:f>K25-D25</x:f>
        <x:v>4</x:v>
      </x:c>
    </x:row>
    <x:row r="26" ht="23" customHeight="1">
      <x:c r="A26" s="176"/>
      <x:c r="B26" s="265" t="str">
        <x:v>인문학과 윤리</x:v>
      </x:c>
      <x:c r="C26" s="265" t="str">
        <x:v>윤리</x:v>
      </x:c>
      <x:c r="D26" s="270" t="n">
        <x:v>4</x:v>
      </x:c>
      <x:c r="E26" s="272" t="n">
        <x:v>3</x:v>
      </x:c>
      <x:c r="F26" s="272" t="n">
        <x:f>E26</x:f>
        <x:v>3</x:v>
      </x:c>
      <x:c r="G26" s="272" t="n">
        <x:f>$K$20*F26/SUM($F$23:$F$35)</x:f>
        <x:v>3.232982957444637</x:v>
      </x:c>
      <x:c r="H26" s="270" t="n">
        <x:f>INT(G26)</x:f>
        <x:v>3</x:v>
      </x:c>
      <x:c r="I26" s="274" t="n">
        <x:f>ROUND(G26-H26,12)</x:f>
        <x:v>0.232982957445</x:v>
      </x:c>
      <x:c r="J26" s="270" t="n">
        <x:f>COUNTIF($I$23:$I$35,"&gt;"&amp;I26)+COUNTIF($I$23:I26,I26)</x:f>
        <x:v>8</x:v>
      </x:c>
      <x:c r="K26" s="270" t="n">
        <x:f>H26+IF(J26&lt;=$K$20-SUM($H$23:$H$35),1,0)</x:f>
        <x:v>3</x:v>
      </x:c>
      <x:c r="L26" s="270" t="n">
        <x:v>3</x:v>
      </x:c>
      <x:c r="M26" s="270" t="n">
        <x:f>K26*L26</x:f>
        <x:v>9</x:v>
      </x:c>
      <x:c r="N26" s="276" t="n">
        <x:f>K26-D26</x:f>
        <x:v>-1</x:v>
      </x:c>
    </x:row>
    <x:row r="27" ht="23" customHeight="1">
      <x:c r="A27" s="176"/>
      <x:c r="B27" s="265" t="str">
        <x:v>국제 관계의 이해</x:v>
      </x:c>
      <x:c r="C27" s="265" t="str">
        <x:v>일반사회</x:v>
      </x:c>
      <x:c r="D27" s="270" t="n">
        <x:v>6</x:v>
      </x:c>
      <x:c r="E27" s="272" t="n">
        <x:v>5</x:v>
      </x:c>
      <x:c r="F27" s="272" t="n">
        <x:f>E27</x:f>
        <x:v>5</x:v>
      </x:c>
      <x:c r="G27" s="272" t="n">
        <x:f>$K$20*F27/SUM($F$23:$F$35)</x:f>
        <x:v>5.388304929074396</x:v>
      </x:c>
      <x:c r="H27" s="270" t="n">
        <x:f>INT(G27)</x:f>
        <x:v>5</x:v>
      </x:c>
      <x:c r="I27" s="274" t="n">
        <x:f>ROUND(G27-H27,12)</x:f>
        <x:v>0.388304929074</x:v>
      </x:c>
      <x:c r="J27" s="270" t="n">
        <x:f>COUNTIF($I$23:$I$35,"&gt;"&amp;I27)+COUNTIF($I$23:I27,I27)</x:f>
        <x:v>5</x:v>
      </x:c>
      <x:c r="K27" s="270" t="n">
        <x:f>H27+IF(J27&lt;=$K$20-SUM($H$23:$H$35),1,0)</x:f>
        <x:v>5</x:v>
      </x:c>
      <x:c r="L27" s="270" t="n">
        <x:v>3</x:v>
      </x:c>
      <x:c r="M27" s="270" t="n">
        <x:f>K27*L27</x:f>
        <x:v>15</x:v>
      </x:c>
      <x:c r="N27" s="276" t="n">
        <x:f>K27-D27</x:f>
        <x:v>-1</x:v>
      </x:c>
    </x:row>
    <x:row r="28" ht="23" customHeight="1">
      <x:c r="A28" s="176"/>
      <x:c r="B28" s="265" t="str">
        <x:v>역사로 탐구하는 현대 세계</x:v>
      </x:c>
      <x:c r="C28" s="265" t="str">
        <x:v>역사</x:v>
      </x:c>
      <x:c r="D28" s="270" t="n">
        <x:v>5</x:v>
      </x:c>
      <x:c r="E28" s="272" t="n">
        <x:v>4</x:v>
      </x:c>
      <x:c r="F28" s="272" t="n">
        <x:f>E28</x:f>
        <x:v>4</x:v>
      </x:c>
      <x:c r="G28" s="272" t="n">
        <x:f>$K$20*F28/SUM($F$23:$F$35)</x:f>
        <x:v>4.3106439432595165</x:v>
      </x:c>
      <x:c r="H28" s="270" t="n">
        <x:f>INT(G28)</x:f>
        <x:v>4</x:v>
      </x:c>
      <x:c r="I28" s="274" t="n">
        <x:f>ROUND(G28-H28,12)</x:f>
        <x:v>0.31064394326</x:v>
      </x:c>
      <x:c r="J28" s="270" t="n">
        <x:f>COUNTIF($I$23:$I$35,"&gt;"&amp;I28)+COUNTIF($I$23:I28,I28)</x:f>
        <x:v>7</x:v>
      </x:c>
      <x:c r="K28" s="270" t="n">
        <x:f>H28+IF(J28&lt;=$K$20-SUM($H$23:$H$35),1,0)</x:f>
        <x:v>4</x:v>
      </x:c>
      <x:c r="L28" s="270" t="n">
        <x:v>3</x:v>
      </x:c>
      <x:c r="M28" s="270" t="n">
        <x:f>K28*L28</x:f>
        <x:v>12</x:v>
      </x:c>
      <x:c r="N28" s="276" t="n">
        <x:f>K28-D28</x:f>
        <x:v>-1</x:v>
      </x:c>
    </x:row>
    <x:row r="29" ht="23" customHeight="1">
      <x:c r="A29" s="176"/>
      <x:c r="B29" s="265" t="str">
        <x:v>사회문제 탐구</x:v>
      </x:c>
      <x:c r="C29" s="265" t="str">
        <x:v>일반사회</x:v>
      </x:c>
      <x:c r="D29" s="270" t="n">
        <x:v>2</x:v>
      </x:c>
      <x:c r="E29" s="272" t="n">
        <x:v>2</x:v>
      </x:c>
      <x:c r="F29" s="272" t="n">
        <x:f>E29</x:f>
        <x:v>2</x:v>
      </x:c>
      <x:c r="G29" s="272" t="n">
        <x:f>$K$20*F29/SUM($F$23:$F$35)</x:f>
        <x:v>2.1553219716297582</x:v>
      </x:c>
      <x:c r="H29" s="270" t="n">
        <x:f>INT(G29)</x:f>
        <x:v>2</x:v>
      </x:c>
      <x:c r="I29" s="274" t="n">
        <x:f>ROUND(G29-H29,12)</x:f>
        <x:v>0.15532197163</x:v>
      </x:c>
      <x:c r="J29" s="270" t="n">
        <x:f>COUNTIF($I$23:$I$35,"&gt;"&amp;I29)+COUNTIF($I$23:I29,I29)</x:f>
        <x:v>9</x:v>
      </x:c>
      <x:c r="K29" s="270" t="n">
        <x:f>H29+IF(J29&lt;=$K$20-SUM($H$23:$H$35),1,0)</x:f>
        <x:v>2</x:v>
      </x:c>
      <x:c r="L29" s="270" t="n">
        <x:v>3</x:v>
      </x:c>
      <x:c r="M29" s="270" t="n">
        <x:f>K29*L29</x:f>
        <x:v>6</x:v>
      </x:c>
      <x:c r="N29" s="276" t="n">
        <x:f>K29-D29</x:f>
        <x:v>0</x:v>
      </x:c>
    </x:row>
    <x:row r="30" ht="23" customHeight="1">
      <x:c r="A30" s="176"/>
      <x:c r="B30" s="265" t="str">
        <x:v>기후변화와 지속가능한 세계</x:v>
      </x:c>
      <x:c r="C30" s="265" t="str">
        <x:v>지리</x:v>
      </x:c>
      <x:c r="D30" s="270" t="n">
        <x:v>2</x:v>
      </x:c>
      <x:c r="E30" s="272" t="n">
        <x:v>2</x:v>
      </x:c>
      <x:c r="F30" s="272" t="n">
        <x:f>E30</x:f>
        <x:v>2</x:v>
      </x:c>
      <x:c r="G30" s="272" t="n">
        <x:f>$K$20*F30/SUM($F$23:$F$35)</x:f>
        <x:v>2.1553219716297582</x:v>
      </x:c>
      <x:c r="H30" s="270" t="n">
        <x:f>INT(G30)</x:f>
        <x:v>2</x:v>
      </x:c>
      <x:c r="I30" s="274" t="n">
        <x:f>ROUND(G30-H30,12)</x:f>
        <x:v>0.15532197163</x:v>
      </x:c>
      <x:c r="J30" s="270" t="n">
        <x:f>COUNTIF($I$23:$I$35,"&gt;"&amp;I30)+COUNTIF($I$23:I30,I30)</x:f>
        <x:v>10</x:v>
      </x:c>
      <x:c r="K30" s="270" t="n">
        <x:f>H30+IF(J30&lt;=$K$20-SUM($H$23:$H$35),1,0)</x:f>
        <x:v>2</x:v>
      </x:c>
      <x:c r="L30" s="270" t="n">
        <x:v>3</x:v>
      </x:c>
      <x:c r="M30" s="270" t="n">
        <x:f>K30*L30</x:f>
        <x:v>6</x:v>
      </x:c>
      <x:c r="N30" s="276" t="n">
        <x:f>K30-D30</x:f>
        <x:v>0</x:v>
      </x:c>
    </x:row>
    <x:row r="31" ht="23" customHeight="1">
      <x:c r="A31" s="176"/>
      <x:c r="B31" s="265" t="str">
        <x:v>전자기와 양자</x:v>
      </x:c>
      <x:c r="C31" s="265" t="str">
        <x:v>물리학</x:v>
      </x:c>
      <x:c r="D31" s="270" t="n">
        <x:v>2</x:v>
      </x:c>
      <x:c r="E31" s="272" t="n">
        <x:v>2</x:v>
      </x:c>
      <x:c r="F31" s="272" t="n">
        <x:f>E31</x:f>
        <x:v>2</x:v>
      </x:c>
      <x:c r="G31" s="272" t="n">
        <x:f>$K$20*F31/SUM($F$23:$F$35)</x:f>
        <x:v>2.1553219716297582</x:v>
      </x:c>
      <x:c r="H31" s="270" t="n">
        <x:f>INT(G31)</x:f>
        <x:v>2</x:v>
      </x:c>
      <x:c r="I31" s="274" t="n">
        <x:f>ROUND(G31-H31,12)</x:f>
        <x:v>0.15532197163</x:v>
      </x:c>
      <x:c r="J31" s="270" t="n">
        <x:f>COUNTIF($I$23:$I$35,"&gt;"&amp;I31)+COUNTIF($I$23:I31,I31)</x:f>
        <x:v>11</x:v>
      </x:c>
      <x:c r="K31" s="270" t="n">
        <x:f>H31+IF(J31&lt;=$K$20-SUM($H$23:$H$35),1,0)</x:f>
        <x:v>2</x:v>
      </x:c>
      <x:c r="L31" s="270" t="n">
        <x:v>3</x:v>
      </x:c>
      <x:c r="M31" s="270" t="n">
        <x:f>K31*L31</x:f>
        <x:v>6</x:v>
      </x:c>
      <x:c r="N31" s="276" t="n">
        <x:f>K31-D31</x:f>
        <x:v>0</x:v>
      </x:c>
    </x:row>
    <x:row r="32" ht="23" customHeight="1">
      <x:c r="A32" s="176"/>
      <x:c r="B32" s="265" t="str">
        <x:v>물질과 에너지</x:v>
      </x:c>
      <x:c r="C32" s="265" t="str">
        <x:v>화학</x:v>
      </x:c>
      <x:c r="D32" s="270" t="n">
        <x:v>7</x:v>
      </x:c>
      <x:c r="E32" s="272" t="n">
        <x:v>6</x:v>
      </x:c>
      <x:c r="F32" s="272" t="n">
        <x:f>E32</x:f>
        <x:v>6</x:v>
      </x:c>
      <x:c r="G32" s="272" t="n">
        <x:f>$K$20*F32/SUM($F$23:$F$35)</x:f>
        <x:v>6.465965914889274</x:v>
      </x:c>
      <x:c r="H32" s="270" t="n">
        <x:f>INT(G32)</x:f>
        <x:v>6</x:v>
      </x:c>
      <x:c r="I32" s="274" t="n">
        <x:f>ROUND(G32-H32,12)</x:f>
        <x:v>0.465965914889</x:v>
      </x:c>
      <x:c r="J32" s="270" t="n">
        <x:f>COUNTIF($I$23:$I$35,"&gt;"&amp;I32)+COUNTIF($I$23:I32,I32)</x:f>
        <x:v>3</x:v>
      </x:c>
      <x:c r="K32" s="270" t="n">
        <x:f>H32+IF(J32&lt;=$K$20-SUM($H$23:$H$35),1,0)</x:f>
        <x:v>7</x:v>
      </x:c>
      <x:c r="L32" s="270" t="n">
        <x:v>3</x:v>
      </x:c>
      <x:c r="M32" s="270" t="n">
        <x:f>K32*L32</x:f>
        <x:v>21</x:v>
      </x:c>
      <x:c r="N32" s="276" t="n">
        <x:f>K32-D32</x:f>
        <x:v>0</x:v>
      </x:c>
    </x:row>
    <x:row r="33" ht="23" customHeight="1">
      <x:c r="A33" s="176"/>
      <x:c r="B33" s="265" t="str">
        <x:v>화학 반응의 세계</x:v>
      </x:c>
      <x:c r="C33" s="265" t="str">
        <x:v>화학</x:v>
      </x:c>
      <x:c r="D33" s="270" t="n">
        <x:v>8</x:v>
      </x:c>
      <x:c r="E33" s="272" t="n">
        <x:v>7</x:v>
      </x:c>
      <x:c r="F33" s="272" t="n">
        <x:f>E33</x:f>
        <x:v>7</x:v>
      </x:c>
      <x:c r="G33" s="272" t="n">
        <x:f>$K$20*F33/SUM($F$23:$F$35)</x:f>
        <x:v>7.543626900704154</x:v>
      </x:c>
      <x:c r="H33" s="270" t="n">
        <x:f>INT(G33)</x:f>
        <x:v>7</x:v>
      </x:c>
      <x:c r="I33" s="274" t="n">
        <x:f>ROUND(G33-H33,12)</x:f>
        <x:v>0.543626900704</x:v>
      </x:c>
      <x:c r="J33" s="270" t="n">
        <x:f>COUNTIF($I$23:$I$35,"&gt;"&amp;I33)+COUNTIF($I$23:I33,I33)</x:f>
        <x:v>2</x:v>
      </x:c>
      <x:c r="K33" s="270" t="n">
        <x:f>H33+IF(J33&lt;=$K$20-SUM($H$23:$H$35),1,0)</x:f>
        <x:v>8</x:v>
      </x:c>
      <x:c r="L33" s="270" t="n">
        <x:v>3</x:v>
      </x:c>
      <x:c r="M33" s="270" t="n">
        <x:f>K33*L33</x:f>
        <x:v>24</x:v>
      </x:c>
      <x:c r="N33" s="276" t="n">
        <x:f>K33-D33</x:f>
        <x:v>0</x:v>
      </x:c>
    </x:row>
    <x:row r="34" ht="23" customHeight="1">
      <x:c r="A34" s="176"/>
      <x:c r="B34" s="265" t="str">
        <x:v>세포와 물질대사</x:v>
      </x:c>
      <x:c r="C34" s="265" t="str">
        <x:v>생명과학</x:v>
      </x:c>
      <x:c r="D34" s="270" t="n">
        <x:v>6</x:v>
      </x:c>
      <x:c r="E34" s="272" t="n">
        <x:v>5</x:v>
      </x:c>
      <x:c r="F34" s="272" t="n">
        <x:f>E34</x:f>
        <x:v>5</x:v>
      </x:c>
      <x:c r="G34" s="272" t="n">
        <x:f>$K$20*F34/SUM($F$23:$F$35)</x:f>
        <x:v>5.388304929074396</x:v>
      </x:c>
      <x:c r="H34" s="270" t="n">
        <x:f>INT(G34)</x:f>
        <x:v>5</x:v>
      </x:c>
      <x:c r="I34" s="274" t="n">
        <x:f>ROUND(G34-H34,12)</x:f>
        <x:v>0.388304929074</x:v>
      </x:c>
      <x:c r="J34" s="270" t="n">
        <x:f>COUNTIF($I$23:$I$35,"&gt;"&amp;I34)+COUNTIF($I$23:I34,I34)</x:f>
        <x:v>6</x:v>
      </x:c>
      <x:c r="K34" s="270" t="n">
        <x:f>H34+IF(J34&lt;=$K$20-SUM($H$23:$H$35),1,0)</x:f>
        <x:v>5</x:v>
      </x:c>
      <x:c r="L34" s="270" t="n">
        <x:v>3</x:v>
      </x:c>
      <x:c r="M34" s="270" t="n">
        <x:f>K34*L34</x:f>
        <x:v>15</x:v>
      </x:c>
      <x:c r="N34" s="276" t="n">
        <x:f>K34-D34</x:f>
        <x:v>-1</x:v>
      </x:c>
    </x:row>
    <x:row r="35" ht="23" customHeight="1">
      <x:c r="A35" s="176"/>
      <x:c r="B35" s="265" t="str">
        <x:v>지구시스템과학</x:v>
      </x:c>
      <x:c r="C35" s="265" t="str">
        <x:v>지구과학</x:v>
      </x:c>
      <x:c r="D35" s="270" t="n">
        <x:v>0</x:v>
      </x:c>
      <x:c r="E35" s="272" t="n">
        <x:v>0</x:v>
      </x:c>
      <x:c r="F35" s="272" t="n">
        <x:f>E35</x:f>
        <x:v>0</x:v>
      </x:c>
      <x:c r="G35" s="272" t="n">
        <x:f>$K$20*F35/SUM($F$23:$F$35)</x:f>
        <x:v>0</x:v>
      </x:c>
      <x:c r="H35" s="270" t="n">
        <x:f>INT(G35)</x:f>
        <x:v>0</x:v>
      </x:c>
      <x:c r="I35" s="274" t="n">
        <x:f>ROUND(G35-H35,12)</x:f>
        <x:v>0</x:v>
      </x:c>
      <x:c r="J35" s="270" t="n">
        <x:f>COUNTIF($I$23:$I$35,"&gt;"&amp;I35)+COUNTIF($I$23:I35,I35)</x:f>
        <x:v>13</x:v>
      </x:c>
      <x:c r="K35" s="270" t="n">
        <x:f>H35+IF(J35&lt;=$K$20-SUM($H$23:$H$35),1,0)</x:f>
        <x:v>0</x:v>
      </x:c>
      <x:c r="L35" s="270" t="n">
        <x:v>3</x:v>
      </x:c>
      <x:c r="M35" s="270" t="n">
        <x:f>K35*L35</x:f>
        <x:v>0</x:v>
      </x:c>
      <x:c r="N35" s="276" t="n">
        <x:f>K35-D35</x:f>
        <x:v>0</x:v>
      </x:c>
    </x:row>
    <x:row r="36" ht="23" customHeight="1">
      <x:c r="A36" s="176"/>
      <x:c r="B36" s="254" t="str">
        <x:v>선택군 합계</x:v>
      </x:c>
      <x:c r="C36" s="254"/>
      <x:c r="D36" s="254" t="n">
        <x:f>SUM(D23:D35)</x:f>
        <x:v>52</x:v>
      </x:c>
      <x:c r="E36" s="254"/>
      <x:c r="F36" s="254"/>
      <x:c r="G36" s="254"/>
      <x:c r="H36" s="254"/>
      <x:c r="I36" s="254"/>
      <x:c r="J36" s="254"/>
      <x:c r="K36" s="254" t="n">
        <x:f>SUM(K23:K35)</x:f>
        <x:v>52</x:v>
      </x:c>
      <x:c r="L36" s="254"/>
      <x:c r="M36" s="254" t="n">
        <x:f>SUM(M23:M35)</x:f>
        <x:v>156</x:v>
      </x:c>
      <x:c r="N36" s="254" t="n">
        <x:f>SUM(N23:N35)</x:f>
        <x:v>0</x:v>
      </x:c>
    </x:row>
    <x:row r="37" ht="23" customHeight="1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6"/>
      <x:c r="N37" s="176"/>
    </x:row>
    <x:row r="38" ht="23" customHeight="1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6"/>
      <x:c r="N38" s="176"/>
    </x:row>
    <x:row r="39" ht="28" customHeight="1">
      <x:c r="A39" s="176"/>
      <x:c r="B39" s="260" t="str">
        <x:v>2029학년도 3학년 1학기 기존안</x:v>
      </x:c>
      <x:c r="C39" s="260"/>
      <x:c r="D39" s="260"/>
      <x:c r="E39" s="260"/>
      <x:c r="F39" s="260" t="str">
        <x:v>택4 · 12학급</x:v>
      </x:c>
      <x:c r="G39" s="260"/>
      <x:c r="H39" s="260"/>
      <x:c r="I39" s="260" t="str">
        <x:v>목표 반 수</x:v>
      </x:c>
      <x:c r="J39" s="260"/>
      <x:c r="K39" s="260" t="n">
        <x:f>12*4</x:f>
        <x:v>48</x:v>
      </x:c>
      <x:c r="L39" s="260" t="str">
        <x:v>반 수 차이</x:v>
      </x:c>
      <x:c r="M39" s="260"/>
      <x:c r="N39" s="260" t="n">
        <x:f>SUM(K42:K51)-K39</x:f>
        <x:v>0</x:v>
      </x:c>
    </x:row>
    <x:row r="40" ht="23" customHeight="1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6"/>
      <x:c r="N40" s="176"/>
    </x:row>
    <x:row r="41" ht="34" customHeight="1">
      <x:c r="A41" s="176"/>
      <x:c r="B41" s="264" t="str">
        <x:v>과목명</x:v>
      </x:c>
      <x:c r="C41" s="264" t="str">
        <x:v>담당 교과</x:v>
      </x:c>
      <x:c r="D41" s="264" t="str">
        <x:v>보정 전
반 수</x:v>
      </x:c>
      <x:c r="E41" s="264" t="str">
        <x:v>기존
가중치</x:v>
      </x:c>
      <x:c r="F41" s="264" t="str">
        <x:v>보정
가중치</x:v>
      </x:c>
      <x:c r="G41" s="264" t="str">
        <x:v>배분값
(반)</x:v>
      </x:c>
      <x:c r="H41" s="264" t="str">
        <x:v>내림값</x:v>
      </x:c>
      <x:c r="I41" s="264" t="str">
        <x:v>소수 부분</x:v>
      </x:c>
      <x:c r="J41" s="264" t="str">
        <x:v>추가
순위</x:v>
      </x:c>
      <x:c r="K41" s="264" t="str">
        <x:v>보정 후
반 수</x:v>
      </x:c>
      <x:c r="L41" s="264" t="str">
        <x:v>반당
시수</x:v>
      </x:c>
      <x:c r="M41" s="264" t="str">
        <x:v>보정 후
시수</x:v>
      </x:c>
      <x:c r="N41" s="264" t="str">
        <x:v>반 수
증감</x:v>
      </x:c>
    </x:row>
    <x:row r="42" ht="23" customHeight="1">
      <x:c r="A42" s="176"/>
      <x:c r="B42" s="265" t="str">
        <x:v>인공지능 수학</x:v>
      </x:c>
      <x:c r="C42" s="265" t="str">
        <x:v>수학</x:v>
      </x:c>
      <x:c r="D42" s="270" t="n">
        <x:v>5</x:v>
      </x:c>
      <x:c r="E42" s="272" t="n">
        <x:v>3.3333333333333335</x:v>
      </x:c>
      <x:c r="F42" s="272" t="n">
        <x:f>E42</x:f>
        <x:v>3.3333333333333335</x:v>
      </x:c>
      <x:c r="G42" s="272" t="n">
        <x:f>$K$39*F42/SUM($F$42:$F$51)</x:f>
        <x:v>4.418410041841004</x:v>
      </x:c>
      <x:c r="H42" s="270" t="n">
        <x:f>INT(G42)</x:f>
        <x:v>4</x:v>
      </x:c>
      <x:c r="I42" s="274" t="n">
        <x:f>ROUND(G42-H42,12)</x:f>
        <x:v>0.418410041841</x:v>
      </x:c>
      <x:c r="J42" s="270" t="n">
        <x:f>COUNTIF($I$42:$I$51,"&gt;"&amp;I42)+COUNTIF($I$42:I42,I42)</x:f>
        <x:v>8</x:v>
      </x:c>
      <x:c r="K42" s="270" t="n">
        <x:f>H42+IF(J42&lt;=$K$39-SUM($H$42:$H$51),1,0)</x:f>
        <x:v>4</x:v>
      </x:c>
      <x:c r="L42" s="270" t="n">
        <x:v>3</x:v>
      </x:c>
      <x:c r="M42" s="270" t="n">
        <x:f>K42*L42</x:f>
        <x:v>12</x:v>
      </x:c>
      <x:c r="N42" s="276" t="n">
        <x:f>K42-D42</x:f>
        <x:v>-1</x:v>
      </x:c>
    </x:row>
    <x:row r="43" ht="23" customHeight="1">
      <x:c r="A43" s="176"/>
      <x:c r="B43" s="265" t="str">
        <x:v>도시의 미래 탐구</x:v>
      </x:c>
      <x:c r="C43" s="265" t="str">
        <x:v>지리</x:v>
      </x:c>
      <x:c r="D43" s="270" t="n">
        <x:v>7</x:v>
      </x:c>
      <x:c r="E43" s="272" t="n">
        <x:v>5</x:v>
      </x:c>
      <x:c r="F43" s="272" t="n">
        <x:f>E43</x:f>
        <x:v>5</x:v>
      </x:c>
      <x:c r="G43" s="272" t="n">
        <x:f>$K$39*F43/SUM($F$42:$F$51)</x:f>
        <x:v>6.627615062761507</x:v>
      </x:c>
      <x:c r="H43" s="270" t="n">
        <x:f>INT(G43)</x:f>
        <x:v>6</x:v>
      </x:c>
      <x:c r="I43" s="274" t="n">
        <x:f>ROUND(G43-H43,12)</x:f>
        <x:v>0.627615062762</x:v>
      </x:c>
      <x:c r="J43" s="270" t="n">
        <x:f>COUNTIF($I$42:$I$51,"&gt;"&amp;I43)+COUNTIF($I$42:I43,I43)</x:f>
        <x:v>5</x:v>
      </x:c>
      <x:c r="K43" s="270" t="n">
        <x:f>H43+IF(J43&lt;=$K$39-SUM($H$42:$H$51),1,0)</x:f>
        <x:v>7</x:v>
      </x:c>
      <x:c r="L43" s="270" t="n">
        <x:v>3</x:v>
      </x:c>
      <x:c r="M43" s="270" t="n">
        <x:f>K43*L43</x:f>
        <x:v>21</x:v>
      </x:c>
      <x:c r="N43" s="276" t="n">
        <x:f>K43-D43</x:f>
        <x:v>0</x:v>
      </x:c>
    </x:row>
    <x:row r="44" ht="23" customHeight="1">
      <x:c r="A44" s="176"/>
      <x:c r="B44" s="267" t="str">
        <x:v>경제</x:v>
      </x:c>
      <x:c r="C44" s="267" t="str">
        <x:v>일반사회</x:v>
      </x:c>
      <x:c r="D44" s="271" t="n">
        <x:v>0</x:v>
      </x:c>
      <x:c r="E44" s="273" t="n">
        <x:v>0</x:v>
      </x:c>
      <x:c r="F44" s="273" t="n">
        <x:f>(SUM($E$42:$E$51)-E44)*$C$10/(1-$C$10)</x:f>
        <x:v>2.878787878787879</x:v>
      </x:c>
      <x:c r="G44" s="273" t="n">
        <x:f>$K$39*F44/SUM($F$42:$F$51)</x:f>
        <x:v>3.8158995815899583</x:v>
      </x:c>
      <x:c r="H44" s="271" t="n">
        <x:f>INT(G44)</x:f>
        <x:v>3</x:v>
      </x:c>
      <x:c r="I44" s="275" t="n">
        <x:f>ROUND(G44-H44,12)</x:f>
        <x:v>0.81589958159</x:v>
      </x:c>
      <x:c r="J44" s="271" t="n">
        <x:f>COUNTIF($I$42:$I$51,"&gt;"&amp;I44)+COUNTIF($I$42:I44,I44)</x:f>
        <x:v>3</x:v>
      </x:c>
      <x:c r="K44" s="271" t="n">
        <x:f>H44+IF(J44&lt;=$K$39-SUM($H$42:$H$51),1,0)</x:f>
        <x:v>4</x:v>
      </x:c>
      <x:c r="L44" s="271" t="n">
        <x:v>3</x:v>
      </x:c>
      <x:c r="M44" s="271" t="n">
        <x:f>K44*L44</x:f>
        <x:v>12</x:v>
      </x:c>
      <x:c r="N44" s="277" t="n">
        <x:f>K44-D44</x:f>
        <x:v>4</x:v>
      </x:c>
    </x:row>
    <x:row r="45" ht="23" customHeight="1">
      <x:c r="A45" s="176"/>
      <x:c r="B45" s="265" t="str">
        <x:v>인문학과 윤리</x:v>
      </x:c>
      <x:c r="C45" s="265" t="str">
        <x:v>윤리</x:v>
      </x:c>
      <x:c r="D45" s="270" t="n">
        <x:v>4</x:v>
      </x:c>
      <x:c r="E45" s="272" t="n">
        <x:v>3</x:v>
      </x:c>
      <x:c r="F45" s="272" t="n">
        <x:f>E45</x:f>
        <x:v>3</x:v>
      </x:c>
      <x:c r="G45" s="272" t="n">
        <x:f>$K$39*F45/SUM($F$42:$F$51)</x:f>
        <x:v>3.976569037656904</x:v>
      </x:c>
      <x:c r="H45" s="270" t="n">
        <x:f>INT(G45)</x:f>
        <x:v>3</x:v>
      </x:c>
      <x:c r="I45" s="274" t="n">
        <x:f>ROUND(G45-H45,12)</x:f>
        <x:v>0.976569037657</x:v>
      </x:c>
      <x:c r="J45" s="270" t="n">
        <x:f>COUNTIF($I$42:$I$51,"&gt;"&amp;I45)+COUNTIF($I$42:I45,I45)</x:f>
        <x:v>1</x:v>
      </x:c>
      <x:c r="K45" s="270" t="n">
        <x:f>H45+IF(J45&lt;=$K$39-SUM($H$42:$H$51),1,0)</x:f>
        <x:v>4</x:v>
      </x:c>
      <x:c r="L45" s="270" t="n">
        <x:v>3</x:v>
      </x:c>
      <x:c r="M45" s="270" t="n">
        <x:f>K45*L45</x:f>
        <x:v>12</x:v>
      </x:c>
      <x:c r="N45" s="276" t="n">
        <x:f>K45-D45</x:f>
        <x:v>0</x:v>
      </x:c>
    </x:row>
    <x:row r="46" ht="23" customHeight="1">
      <x:c r="A46" s="176"/>
      <x:c r="B46" s="265" t="str">
        <x:v>국제 관계의 이해</x:v>
      </x:c>
      <x:c r="C46" s="265" t="str">
        <x:v>일반사회</x:v>
      </x:c>
      <x:c r="D46" s="270" t="n">
        <x:v>7</x:v>
      </x:c>
      <x:c r="E46" s="272" t="n">
        <x:v>5</x:v>
      </x:c>
      <x:c r="F46" s="272" t="n">
        <x:f>E46</x:f>
        <x:v>5</x:v>
      </x:c>
      <x:c r="G46" s="272" t="n">
        <x:f>$K$39*F46/SUM($F$42:$F$51)</x:f>
        <x:v>6.627615062761507</x:v>
      </x:c>
      <x:c r="H46" s="270" t="n">
        <x:f>INT(G46)</x:f>
        <x:v>6</x:v>
      </x:c>
      <x:c r="I46" s="274" t="n">
        <x:f>ROUND(G46-H46,12)</x:f>
        <x:v>0.627615062762</x:v>
      </x:c>
      <x:c r="J46" s="270" t="n">
        <x:f>COUNTIF($I$42:$I$51,"&gt;"&amp;I46)+COUNTIF($I$42:I46,I46)</x:f>
        <x:v>6</x:v>
      </x:c>
      <x:c r="K46" s="270" t="n">
        <x:f>H46+IF(J46&lt;=$K$39-SUM($H$42:$H$51),1,0)</x:f>
        <x:v>7</x:v>
      </x:c>
      <x:c r="L46" s="270" t="n">
        <x:v>3</x:v>
      </x:c>
      <x:c r="M46" s="270" t="n">
        <x:f>K46*L46</x:f>
        <x:v>21</x:v>
      </x:c>
      <x:c r="N46" s="276" t="n">
        <x:f>K46-D46</x:f>
        <x:v>0</x:v>
      </x:c>
    </x:row>
    <x:row r="47" ht="23" customHeight="1">
      <x:c r="A47" s="176"/>
      <x:c r="B47" s="265" t="str">
        <x:v>역사로 탐구하는 현대 세계</x:v>
      </x:c>
      <x:c r="C47" s="265" t="str">
        <x:v>역사</x:v>
      </x:c>
      <x:c r="D47" s="270" t="n">
        <x:v>6</x:v>
      </x:c>
      <x:c r="E47" s="272" t="n">
        <x:v>4</x:v>
      </x:c>
      <x:c r="F47" s="272" t="n">
        <x:f>E47</x:f>
        <x:v>4</x:v>
      </x:c>
      <x:c r="G47" s="272" t="n">
        <x:f>$K$39*F47/SUM($F$42:$F$51)</x:f>
        <x:v>5.302092050209205</x:v>
      </x:c>
      <x:c r="H47" s="270" t="n">
        <x:f>INT(G47)</x:f>
        <x:v>5</x:v>
      </x:c>
      <x:c r="I47" s="274" t="n">
        <x:f>ROUND(G47-H47,12)</x:f>
        <x:v>0.302092050209</x:v>
      </x:c>
      <x:c r="J47" s="270" t="n">
        <x:f>COUNTIF($I$42:$I$51,"&gt;"&amp;I47)+COUNTIF($I$42:I47,I47)</x:f>
        <x:v>9</x:v>
      </x:c>
      <x:c r="K47" s="270" t="n">
        <x:f>H47+IF(J47&lt;=$K$39-SUM($H$42:$H$51),1,0)</x:f>
        <x:v>5</x:v>
      </x:c>
      <x:c r="L47" s="270" t="n">
        <x:v>3</x:v>
      </x:c>
      <x:c r="M47" s="270" t="n">
        <x:f>K47*L47</x:f>
        <x:v>15</x:v>
      </x:c>
      <x:c r="N47" s="276" t="n">
        <x:f>K47-D47</x:f>
        <x:v>-1</x:v>
      </x:c>
    </x:row>
    <x:row r="48" ht="23" customHeight="1">
      <x:c r="A48" s="176"/>
      <x:c r="B48" s="265" t="str">
        <x:v>전자기와 양자</x:v>
      </x:c>
      <x:c r="C48" s="265" t="str">
        <x:v>물리학</x:v>
      </x:c>
      <x:c r="D48" s="270" t="n">
        <x:v>3</x:v>
      </x:c>
      <x:c r="E48" s="272" t="n">
        <x:v>2</x:v>
      </x:c>
      <x:c r="F48" s="272" t="n">
        <x:f>E48</x:f>
        <x:v>2</x:v>
      </x:c>
      <x:c r="G48" s="272" t="n">
        <x:f>$K$39*F48/SUM($F$42:$F$51)</x:f>
        <x:v>2.6510460251046024</x:v>
      </x:c>
      <x:c r="H48" s="270" t="n">
        <x:f>INT(G48)</x:f>
        <x:v>2</x:v>
      </x:c>
      <x:c r="I48" s="274" t="n">
        <x:f>ROUND(G48-H48,12)</x:f>
        <x:v>0.651046025105</x:v>
      </x:c>
      <x:c r="J48" s="270" t="n">
        <x:f>COUNTIF($I$42:$I$51,"&gt;"&amp;I48)+COUNTIF($I$42:I48,I48)</x:f>
        <x:v>4</x:v>
      </x:c>
      <x:c r="K48" s="270" t="n">
        <x:f>H48+IF(J48&lt;=$K$39-SUM($H$42:$H$51),1,0)</x:f>
        <x:v>3</x:v>
      </x:c>
      <x:c r="L48" s="270" t="n">
        <x:v>3</x:v>
      </x:c>
      <x:c r="M48" s="270" t="n">
        <x:f>K48*L48</x:f>
        <x:v>9</x:v>
      </x:c>
      <x:c r="N48" s="276" t="n">
        <x:f>K48-D48</x:f>
        <x:v>0</x:v>
      </x:c>
    </x:row>
    <x:row r="49" ht="23" customHeight="1">
      <x:c r="A49" s="176"/>
      <x:c r="B49" s="265" t="str">
        <x:v>물질과 에너지</x:v>
      </x:c>
      <x:c r="C49" s="265" t="str">
        <x:v>화학</x:v>
      </x:c>
      <x:c r="D49" s="270" t="n">
        <x:v>9</x:v>
      </x:c>
      <x:c r="E49" s="272" t="n">
        <x:v>6</x:v>
      </x:c>
      <x:c r="F49" s="272" t="n">
        <x:f>E49</x:f>
        <x:v>6</x:v>
      </x:c>
      <x:c r="G49" s="272" t="n">
        <x:f>$K$39*F49/SUM($F$42:$F$51)</x:f>
        <x:v>7.953138075313808</x:v>
      </x:c>
      <x:c r="H49" s="270" t="n">
        <x:f>INT(G49)</x:f>
        <x:v>7</x:v>
      </x:c>
      <x:c r="I49" s="274" t="n">
        <x:f>ROUND(G49-H49,12)</x:f>
        <x:v>0.953138075314</x:v>
      </x:c>
      <x:c r="J49" s="270" t="n">
        <x:f>COUNTIF($I$42:$I$51,"&gt;"&amp;I49)+COUNTIF($I$42:I49,I49)</x:f>
        <x:v>2</x:v>
      </x:c>
      <x:c r="K49" s="270" t="n">
        <x:f>H49+IF(J49&lt;=$K$39-SUM($H$42:$H$51),1,0)</x:f>
        <x:v>8</x:v>
      </x:c>
      <x:c r="L49" s="270" t="n">
        <x:v>3</x:v>
      </x:c>
      <x:c r="M49" s="270" t="n">
        <x:f>K49*L49</x:f>
        <x:v>24</x:v>
      </x:c>
      <x:c r="N49" s="276" t="n">
        <x:f>K49-D49</x:f>
        <x:v>-1</x:v>
      </x:c>
    </x:row>
    <x:row r="50" ht="23" customHeight="1">
      <x:c r="A50" s="176"/>
      <x:c r="B50" s="265" t="str">
        <x:v>세포와 물질대사</x:v>
      </x:c>
      <x:c r="C50" s="265" t="str">
        <x:v>생명과학</x:v>
      </x:c>
      <x:c r="D50" s="270" t="n">
        <x:v>7</x:v>
      </x:c>
      <x:c r="E50" s="272" t="n">
        <x:v>5</x:v>
      </x:c>
      <x:c r="F50" s="272" t="n">
        <x:f>E50</x:f>
        <x:v>5</x:v>
      </x:c>
      <x:c r="G50" s="272" t="n">
        <x:f>$K$39*F50/SUM($F$42:$F$51)</x:f>
        <x:v>6.627615062761507</x:v>
      </x:c>
      <x:c r="H50" s="270" t="n">
        <x:f>INT(G50)</x:f>
        <x:v>6</x:v>
      </x:c>
      <x:c r="I50" s="274" t="n">
        <x:f>ROUND(G50-H50,12)</x:f>
        <x:v>0.627615062762</x:v>
      </x:c>
      <x:c r="J50" s="270" t="n">
        <x:f>COUNTIF($I$42:$I$51,"&gt;"&amp;I50)+COUNTIF($I$42:I50,I50)</x:f>
        <x:v>7</x:v>
      </x:c>
      <x:c r="K50" s="270" t="n">
        <x:f>H50+IF(J50&lt;=$K$39-SUM($H$42:$H$51),1,0)</x:f>
        <x:v>6</x:v>
      </x:c>
      <x:c r="L50" s="270" t="n">
        <x:v>3</x:v>
      </x:c>
      <x:c r="M50" s="270" t="n">
        <x:f>K50*L50</x:f>
        <x:v>18</x:v>
      </x:c>
      <x:c r="N50" s="276" t="n">
        <x:f>K50-D50</x:f>
        <x:v>-1</x:v>
      </x:c>
    </x:row>
    <x:row r="51" ht="23" customHeight="1">
      <x:c r="A51" s="176"/>
      <x:c r="B51" s="265" t="str">
        <x:v>지구시스템과학</x:v>
      </x:c>
      <x:c r="C51" s="265" t="str">
        <x:v>지구과학</x:v>
      </x:c>
      <x:c r="D51" s="270" t="n">
        <x:v>0</x:v>
      </x:c>
      <x:c r="E51" s="272" t="n">
        <x:v>0</x:v>
      </x:c>
      <x:c r="F51" s="272" t="n">
        <x:f>E51</x:f>
        <x:v>0</x:v>
      </x:c>
      <x:c r="G51" s="272" t="n">
        <x:f>$K$39*F51/SUM($F$42:$F$51)</x:f>
        <x:v>0</x:v>
      </x:c>
      <x:c r="H51" s="270" t="n">
        <x:f>INT(G51)</x:f>
        <x:v>0</x:v>
      </x:c>
      <x:c r="I51" s="274" t="n">
        <x:f>ROUND(G51-H51,12)</x:f>
        <x:v>0</x:v>
      </x:c>
      <x:c r="J51" s="270" t="n">
        <x:f>COUNTIF($I$42:$I$51,"&gt;"&amp;I51)+COUNTIF($I$42:I51,I51)</x:f>
        <x:v>10</x:v>
      </x:c>
      <x:c r="K51" s="270" t="n">
        <x:f>H51+IF(J51&lt;=$K$39-SUM($H$42:$H$51),1,0)</x:f>
        <x:v>0</x:v>
      </x:c>
      <x:c r="L51" s="270" t="n">
        <x:v>3</x:v>
      </x:c>
      <x:c r="M51" s="270" t="n">
        <x:f>K51*L51</x:f>
        <x:v>0</x:v>
      </x:c>
      <x:c r="N51" s="276" t="n">
        <x:f>K51-D51</x:f>
        <x:v>0</x:v>
      </x:c>
    </x:row>
    <x:row r="52" ht="23" customHeight="1">
      <x:c r="A52" s="176"/>
      <x:c r="B52" s="254" t="str">
        <x:v>선택군 합계</x:v>
      </x:c>
      <x:c r="C52" s="254"/>
      <x:c r="D52" s="254" t="n">
        <x:f>SUM(D42:D51)</x:f>
        <x:v>48</x:v>
      </x:c>
      <x:c r="E52" s="254"/>
      <x:c r="F52" s="254"/>
      <x:c r="G52" s="254"/>
      <x:c r="H52" s="254"/>
      <x:c r="I52" s="254"/>
      <x:c r="J52" s="254"/>
      <x:c r="K52" s="254" t="n">
        <x:f>SUM(K42:K51)</x:f>
        <x:v>48</x:v>
      </x:c>
      <x:c r="L52" s="254"/>
      <x:c r="M52" s="254" t="n">
        <x:f>SUM(M42:M51)</x:f>
        <x:v>144</x:v>
      </x:c>
      <x:c r="N52" s="254" t="n">
        <x:f>SUM(N42:N51)</x:f>
        <x:v>0</x:v>
      </x:c>
    </x:row>
    <x:row r="53" ht="23" customHeight="1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</x:row>
    <x:row r="54" ht="23" customHeight="1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</x:row>
    <x:row r="55" ht="28" customHeight="1">
      <x:c r="A55" s="176"/>
      <x:c r="B55" s="260" t="str">
        <x:v>2029학년도 3학년 1학기 변경안</x:v>
      </x:c>
      <x:c r="C55" s="260"/>
      <x:c r="D55" s="260"/>
      <x:c r="E55" s="260"/>
      <x:c r="F55" s="260" t="str">
        <x:v>택4 · 12학급</x:v>
      </x:c>
      <x:c r="G55" s="260"/>
      <x:c r="H55" s="260"/>
      <x:c r="I55" s="260" t="str">
        <x:v>목표 반 수</x:v>
      </x:c>
      <x:c r="J55" s="260"/>
      <x:c r="K55" s="260" t="n">
        <x:f>12*4</x:f>
        <x:v>48</x:v>
      </x:c>
      <x:c r="L55" s="260" t="str">
        <x:v>반 수 차이</x:v>
      </x:c>
      <x:c r="M55" s="260"/>
      <x:c r="N55" s="260" t="n">
        <x:f>SUM(K58:K68)-K55</x:f>
        <x:v>0</x:v>
      </x:c>
    </x:row>
    <x:row r="56" ht="23" customHeight="1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</x:row>
    <x:row r="57" ht="34" customHeight="1">
      <x:c r="A57" s="176"/>
      <x:c r="B57" s="264" t="str">
        <x:v>과목명</x:v>
      </x:c>
      <x:c r="C57" s="264" t="str">
        <x:v>담당 교과</x:v>
      </x:c>
      <x:c r="D57" s="264" t="str">
        <x:v>보정 전
반 수</x:v>
      </x:c>
      <x:c r="E57" s="264" t="str">
        <x:v>기존
가중치</x:v>
      </x:c>
      <x:c r="F57" s="264" t="str">
        <x:v>보정
가중치</x:v>
      </x:c>
      <x:c r="G57" s="264" t="str">
        <x:v>배분값
(반)</x:v>
      </x:c>
      <x:c r="H57" s="264" t="str">
        <x:v>내림값</x:v>
      </x:c>
      <x:c r="I57" s="264" t="str">
        <x:v>소수 부분</x:v>
      </x:c>
      <x:c r="J57" s="264" t="str">
        <x:v>추가
순위</x:v>
      </x:c>
      <x:c r="K57" s="264" t="str">
        <x:v>보정 후
반 수</x:v>
      </x:c>
      <x:c r="L57" s="264" t="str">
        <x:v>반당
시수</x:v>
      </x:c>
      <x:c r="M57" s="264" t="str">
        <x:v>보정 후
시수</x:v>
      </x:c>
      <x:c r="N57" s="264" t="str">
        <x:v>반 수
증감</x:v>
      </x:c>
    </x:row>
    <x:row r="58" ht="23" customHeight="1">
      <x:c r="A58" s="176"/>
      <x:c r="B58" s="265" t="str">
        <x:v>인공지능 수학</x:v>
      </x:c>
      <x:c r="C58" s="265" t="str">
        <x:v>수학</x:v>
      </x:c>
      <x:c r="D58" s="270" t="n">
        <x:v>4</x:v>
      </x:c>
      <x:c r="E58" s="272" t="n">
        <x:v>3.3333333333333335</x:v>
      </x:c>
      <x:c r="F58" s="272" t="n">
        <x:f>E58</x:f>
        <x:v>3.3333333333333335</x:v>
      </x:c>
      <x:c r="G58" s="272" t="n">
        <x:f>$K$55*F58/SUM($F$58:$F$68)</x:f>
        <x:v>4.045977011494252</x:v>
      </x:c>
      <x:c r="H58" s="270" t="n">
        <x:f>INT(G58)</x:f>
        <x:v>4</x:v>
      </x:c>
      <x:c r="I58" s="274" t="n">
        <x:f>ROUND(G58-H58,12)</x:f>
        <x:v>0.045977011494</x:v>
      </x:c>
      <x:c r="J58" s="270" t="n">
        <x:f>COUNTIF($I$58:$I$68,"&gt;"&amp;I58)+COUNTIF($I$58:I58,I58)</x:f>
        <x:v>9</x:v>
      </x:c>
      <x:c r="K58" s="270" t="n">
        <x:f>H58+IF(J58&lt;=$K$55-SUM($H$58:$H$68),1,0)</x:f>
        <x:v>4</x:v>
      </x:c>
      <x:c r="L58" s="270" t="n">
        <x:v>3</x:v>
      </x:c>
      <x:c r="M58" s="270" t="n">
        <x:f>K58*L58</x:f>
        <x:v>12</x:v>
      </x:c>
      <x:c r="N58" s="276" t="n">
        <x:f>K58-D58</x:f>
        <x:v>0</x:v>
      </x:c>
    </x:row>
    <x:row r="59" ht="23" customHeight="1">
      <x:c r="A59" s="176"/>
      <x:c r="B59" s="265" t="str">
        <x:v>도시의 미래 탐구</x:v>
      </x:c>
      <x:c r="C59" s="265" t="str">
        <x:v>지리</x:v>
      </x:c>
      <x:c r="D59" s="270" t="n">
        <x:v>7</x:v>
      </x:c>
      <x:c r="E59" s="272" t="n">
        <x:v>5</x:v>
      </x:c>
      <x:c r="F59" s="272" t="n">
        <x:f>E59</x:f>
        <x:v>5</x:v>
      </x:c>
      <x:c r="G59" s="272" t="n">
        <x:f>$K$55*F59/SUM($F$58:$F$68)</x:f>
        <x:v>6.068965517241379</x:v>
      </x:c>
      <x:c r="H59" s="270" t="n">
        <x:f>INT(G59)</x:f>
        <x:v>6</x:v>
      </x:c>
      <x:c r="I59" s="274" t="n">
        <x:f>ROUND(G59-H59,12)</x:f>
        <x:v>0.068965517241</x:v>
      </x:c>
      <x:c r="J59" s="270" t="n">
        <x:f>COUNTIF($I$58:$I$68,"&gt;"&amp;I59)+COUNTIF($I$58:I59,I59)</x:f>
        <x:v>6</x:v>
      </x:c>
      <x:c r="K59" s="270" t="n">
        <x:f>H59+IF(J59&lt;=$K$55-SUM($H$58:$H$68),1,0)</x:f>
        <x:v>6</x:v>
      </x:c>
      <x:c r="L59" s="270" t="n">
        <x:v>3</x:v>
      </x:c>
      <x:c r="M59" s="270" t="n">
        <x:f>K59*L59</x:f>
        <x:v>18</x:v>
      </x:c>
      <x:c r="N59" s="276" t="n">
        <x:f>K59-D59</x:f>
        <x:v>-1</x:v>
      </x:c>
    </x:row>
    <x:row r="60" ht="23" customHeight="1">
      <x:c r="A60" s="176"/>
      <x:c r="B60" s="267" t="str">
        <x:v>경제</x:v>
      </x:c>
      <x:c r="C60" s="267" t="str">
        <x:v>일반사회</x:v>
      </x:c>
      <x:c r="D60" s="271" t="n">
        <x:v>0</x:v>
      </x:c>
      <x:c r="E60" s="273" t="n">
        <x:v>0</x:v>
      </x:c>
      <x:c r="F60" s="273" t="n">
        <x:f>F44</x:f>
        <x:v>2.878787878787879</x:v>
      </x:c>
      <x:c r="G60" s="273" t="n">
        <x:f>$K$55*F60/SUM($F$58:$F$68)</x:f>
        <x:v>3.4942528735632186</x:v>
      </x:c>
      <x:c r="H60" s="271" t="n">
        <x:f>INT(G60)</x:f>
        <x:v>3</x:v>
      </x:c>
      <x:c r="I60" s="275" t="n">
        <x:f>ROUND(G60-H60,12)</x:f>
        <x:v>0.494252873563</x:v>
      </x:c>
      <x:c r="J60" s="271" t="n">
        <x:f>COUNTIF($I$58:$I$68,"&gt;"&amp;I60)+COUNTIF($I$58:I60,I60)</x:f>
        <x:v>3</x:v>
      </x:c>
      <x:c r="K60" s="271" t="n">
        <x:f>H60+IF(J60&lt;=$K$55-SUM($H$58:$H$68),1,0)</x:f>
        <x:v>4</x:v>
      </x:c>
      <x:c r="L60" s="271" t="n">
        <x:v>3</x:v>
      </x:c>
      <x:c r="M60" s="271" t="n">
        <x:f>K60*L60</x:f>
        <x:v>12</x:v>
      </x:c>
      <x:c r="N60" s="277" t="n">
        <x:f>K60-D60</x:f>
        <x:v>4</x:v>
      </x:c>
    </x:row>
    <x:row r="61" ht="23" customHeight="1">
      <x:c r="A61" s="176"/>
      <x:c r="B61" s="265" t="str">
        <x:v>인문학과 윤리</x:v>
      </x:c>
      <x:c r="C61" s="265" t="str">
        <x:v>윤리</x:v>
      </x:c>
      <x:c r="D61" s="270" t="n">
        <x:v>4</x:v>
      </x:c>
      <x:c r="E61" s="272" t="n">
        <x:v>3</x:v>
      </x:c>
      <x:c r="F61" s="272" t="n">
        <x:f>E61</x:f>
        <x:v>3</x:v>
      </x:c>
      <x:c r="G61" s="272" t="n">
        <x:f>$K$55*F61/SUM($F$58:$F$68)</x:f>
        <x:v>3.6413793103448273</x:v>
      </x:c>
      <x:c r="H61" s="270" t="n">
        <x:f>INT(G61)</x:f>
        <x:v>3</x:v>
      </x:c>
      <x:c r="I61" s="274" t="n">
        <x:f>ROUND(G61-H61,12)</x:f>
        <x:v>0.641379310345</x:v>
      </x:c>
      <x:c r="J61" s="270" t="n">
        <x:f>COUNTIF($I$58:$I$68,"&gt;"&amp;I61)+COUNTIF($I$58:I61,I61)</x:f>
        <x:v>2</x:v>
      </x:c>
      <x:c r="K61" s="270" t="n">
        <x:f>H61+IF(J61&lt;=$K$55-SUM($H$58:$H$68),1,0)</x:f>
        <x:v>4</x:v>
      </x:c>
      <x:c r="L61" s="270" t="n">
        <x:v>3</x:v>
      </x:c>
      <x:c r="M61" s="270" t="n">
        <x:f>K61*L61</x:f>
        <x:v>12</x:v>
      </x:c>
      <x:c r="N61" s="276" t="n">
        <x:f>K61-D61</x:f>
        <x:v>0</x:v>
      </x:c>
    </x:row>
    <x:row r="62" ht="23" customHeight="1">
      <x:c r="A62" s="176"/>
      <x:c r="B62" s="265" t="str">
        <x:v>국제 관계의 이해</x:v>
      </x:c>
      <x:c r="C62" s="265" t="str">
        <x:v>일반사회</x:v>
      </x:c>
      <x:c r="D62" s="270" t="n">
        <x:v>7</x:v>
      </x:c>
      <x:c r="E62" s="272" t="n">
        <x:v>5</x:v>
      </x:c>
      <x:c r="F62" s="272" t="n">
        <x:f>E62</x:f>
        <x:v>5</x:v>
      </x:c>
      <x:c r="G62" s="272" t="n">
        <x:f>$K$55*F62/SUM($F$58:$F$68)</x:f>
        <x:v>6.068965517241379</x:v>
      </x:c>
      <x:c r="H62" s="270" t="n">
        <x:f>INT(G62)</x:f>
        <x:v>6</x:v>
      </x:c>
      <x:c r="I62" s="274" t="n">
        <x:f>ROUND(G62-H62,12)</x:f>
        <x:v>0.068965517241</x:v>
      </x:c>
      <x:c r="J62" s="270" t="n">
        <x:f>COUNTIF($I$58:$I$68,"&gt;"&amp;I62)+COUNTIF($I$58:I62,I62)</x:f>
        <x:v>7</x:v>
      </x:c>
      <x:c r="K62" s="270" t="n">
        <x:f>H62+IF(J62&lt;=$K$55-SUM($H$58:$H$68),1,0)</x:f>
        <x:v>6</x:v>
      </x:c>
      <x:c r="L62" s="270" t="n">
        <x:v>3</x:v>
      </x:c>
      <x:c r="M62" s="270" t="n">
        <x:f>K62*L62</x:f>
        <x:v>18</x:v>
      </x:c>
      <x:c r="N62" s="276" t="n">
        <x:f>K62-D62</x:f>
        <x:v>-1</x:v>
      </x:c>
    </x:row>
    <x:row r="63" ht="23" customHeight="1">
      <x:c r="A63" s="176"/>
      <x:c r="B63" s="265" t="str">
        <x:v>역사로 탐구하는 현대 세계</x:v>
      </x:c>
      <x:c r="C63" s="265" t="str">
        <x:v>역사</x:v>
      </x:c>
      <x:c r="D63" s="270" t="n">
        <x:v>5</x:v>
      </x:c>
      <x:c r="E63" s="272" t="n">
        <x:v>4</x:v>
      </x:c>
      <x:c r="F63" s="272" t="n">
        <x:f>E63</x:f>
        <x:v>4</x:v>
      </x:c>
      <x:c r="G63" s="272" t="n">
        <x:f>$K$55*F63/SUM($F$58:$F$68)</x:f>
        <x:v>4.855172413793103</x:v>
      </x:c>
      <x:c r="H63" s="270" t="n">
        <x:f>INT(G63)</x:f>
        <x:v>4</x:v>
      </x:c>
      <x:c r="I63" s="274" t="n">
        <x:f>ROUND(G63-H63,12)</x:f>
        <x:v>0.855172413793</x:v>
      </x:c>
      <x:c r="J63" s="270" t="n">
        <x:f>COUNTIF($I$58:$I$68,"&gt;"&amp;I63)+COUNTIF($I$58:I63,I63)</x:f>
        <x:v>1</x:v>
      </x:c>
      <x:c r="K63" s="270" t="n">
        <x:f>H63+IF(J63&lt;=$K$55-SUM($H$58:$H$68),1,0)</x:f>
        <x:v>5</x:v>
      </x:c>
      <x:c r="L63" s="270" t="n">
        <x:v>3</x:v>
      </x:c>
      <x:c r="M63" s="270" t="n">
        <x:f>K63*L63</x:f>
        <x:v>15</x:v>
      </x:c>
      <x:c r="N63" s="276" t="n">
        <x:f>K63-D63</x:f>
        <x:v>0</x:v>
      </x:c>
    </x:row>
    <x:row r="64" ht="23" customHeight="1">
      <x:c r="A64" s="176"/>
      <x:c r="B64" s="265" t="str">
        <x:v>전자기와 양자</x:v>
      </x:c>
      <x:c r="C64" s="265" t="str">
        <x:v>물리학</x:v>
      </x:c>
      <x:c r="D64" s="270" t="n">
        <x:v>3</x:v>
      </x:c>
      <x:c r="E64" s="272" t="n">
        <x:v>2</x:v>
      </x:c>
      <x:c r="F64" s="272" t="n">
        <x:f>E64</x:f>
        <x:v>2</x:v>
      </x:c>
      <x:c r="G64" s="272" t="n">
        <x:f>$K$55*F64/SUM($F$58:$F$68)</x:f>
        <x:v>2.4275862068965517</x:v>
      </x:c>
      <x:c r="H64" s="270" t="n">
        <x:f>INT(G64)</x:f>
        <x:v>2</x:v>
      </x:c>
      <x:c r="I64" s="274" t="n">
        <x:f>ROUND(G64-H64,12)</x:f>
        <x:v>0.427586206897</x:v>
      </x:c>
      <x:c r="J64" s="270" t="n">
        <x:f>COUNTIF($I$58:$I$68,"&gt;"&amp;I64)+COUNTIF($I$58:I64,I64)</x:f>
        <x:v>4</x:v>
      </x:c>
      <x:c r="K64" s="270" t="n">
        <x:f>H64+IF(J64&lt;=$K$55-SUM($H$58:$H$68),1,0)</x:f>
        <x:v>2</x:v>
      </x:c>
      <x:c r="L64" s="270" t="n">
        <x:v>3</x:v>
      </x:c>
      <x:c r="M64" s="270" t="n">
        <x:f>K64*L64</x:f>
        <x:v>6</x:v>
      </x:c>
      <x:c r="N64" s="276" t="n">
        <x:f>K64-D64</x:f>
        <x:v>-1</x:v>
      </x:c>
    </x:row>
    <x:row r="65" ht="23" customHeight="1">
      <x:c r="A65" s="176"/>
      <x:c r="B65" s="265" t="str">
        <x:v>물질과 에너지</x:v>
      </x:c>
      <x:c r="C65" s="265" t="str">
        <x:v>화학</x:v>
      </x:c>
      <x:c r="D65" s="270" t="n">
        <x:v>8</x:v>
      </x:c>
      <x:c r="E65" s="272" t="n">
        <x:v>6</x:v>
      </x:c>
      <x:c r="F65" s="272" t="n">
        <x:f>E65</x:f>
        <x:v>6</x:v>
      </x:c>
      <x:c r="G65" s="272" t="n">
        <x:f>$K$55*F65/SUM($F$58:$F$68)</x:f>
        <x:v>7.282758620689655</x:v>
      </x:c>
      <x:c r="H65" s="270" t="n">
        <x:f>INT(G65)</x:f>
        <x:v>7</x:v>
      </x:c>
      <x:c r="I65" s="274" t="n">
        <x:f>ROUND(G65-H65,12)</x:f>
        <x:v>0.28275862069</x:v>
      </x:c>
      <x:c r="J65" s="270" t="n">
        <x:f>COUNTIF($I$58:$I$68,"&gt;"&amp;I65)+COUNTIF($I$58:I65,I65)</x:f>
        <x:v>5</x:v>
      </x:c>
      <x:c r="K65" s="270" t="n">
        <x:f>H65+IF(J65&lt;=$K$55-SUM($H$58:$H$68),1,0)</x:f>
        <x:v>7</x:v>
      </x:c>
      <x:c r="L65" s="270" t="n">
        <x:v>3</x:v>
      </x:c>
      <x:c r="M65" s="270" t="n">
        <x:f>K65*L65</x:f>
        <x:v>21</x:v>
      </x:c>
      <x:c r="N65" s="276" t="n">
        <x:f>K65-D65</x:f>
        <x:v>-1</x:v>
      </x:c>
    </x:row>
    <x:row r="66" ht="23" customHeight="1">
      <x:c r="A66" s="176"/>
      <x:c r="B66" s="265" t="str">
        <x:v>세포와 물질대사</x:v>
      </x:c>
      <x:c r="C66" s="265" t="str">
        <x:v>생명과학</x:v>
      </x:c>
      <x:c r="D66" s="270" t="n">
        <x:v>6</x:v>
      </x:c>
      <x:c r="E66" s="272" t="n">
        <x:v>5</x:v>
      </x:c>
      <x:c r="F66" s="272" t="n">
        <x:f>E66</x:f>
        <x:v>5</x:v>
      </x:c>
      <x:c r="G66" s="272" t="n">
        <x:f>$K$55*F66/SUM($F$58:$F$68)</x:f>
        <x:v>6.068965517241379</x:v>
      </x:c>
      <x:c r="H66" s="270" t="n">
        <x:f>INT(G66)</x:f>
        <x:v>6</x:v>
      </x:c>
      <x:c r="I66" s="274" t="n">
        <x:f>ROUND(G66-H66,12)</x:f>
        <x:v>0.068965517241</x:v>
      </x:c>
      <x:c r="J66" s="270" t="n">
        <x:f>COUNTIF($I$58:$I$68,"&gt;"&amp;I66)+COUNTIF($I$58:I66,I66)</x:f>
        <x:v>8</x:v>
      </x:c>
      <x:c r="K66" s="270" t="n">
        <x:f>H66+IF(J66&lt;=$K$55-SUM($H$58:$H$68),1,0)</x:f>
        <x:v>6</x:v>
      </x:c>
      <x:c r="L66" s="270" t="n">
        <x:v>3</x:v>
      </x:c>
      <x:c r="M66" s="270" t="n">
        <x:f>K66*L66</x:f>
        <x:v>18</x:v>
      </x:c>
      <x:c r="N66" s="276" t="n">
        <x:f>K66-D66</x:f>
        <x:v>0</x:v>
      </x:c>
    </x:row>
    <x:row r="67" ht="23" customHeight="1">
      <x:c r="A67" s="176"/>
      <x:c r="B67" s="265" t="str">
        <x:v>지구시스템과학</x:v>
      </x:c>
      <x:c r="C67" s="265" t="str">
        <x:v>지구과학</x:v>
      </x:c>
      <x:c r="D67" s="270" t="n">
        <x:v>0</x:v>
      </x:c>
      <x:c r="E67" s="272" t="n">
        <x:v>0</x:v>
      </x:c>
      <x:c r="F67" s="272" t="n">
        <x:f>E67</x:f>
        <x:v>0</x:v>
      </x:c>
      <x:c r="G67" s="272" t="n">
        <x:f>$K$55*F67/SUM($F$58:$F$68)</x:f>
        <x:v>0</x:v>
      </x:c>
      <x:c r="H67" s="270" t="n">
        <x:f>INT(G67)</x:f>
        <x:v>0</x:v>
      </x:c>
      <x:c r="I67" s="274" t="n">
        <x:f>ROUND(G67-H67,12)</x:f>
        <x:v>0</x:v>
      </x:c>
      <x:c r="J67" s="270" t="n">
        <x:f>COUNTIF($I$58:$I$68,"&gt;"&amp;I67)+COUNTIF($I$58:I67,I67)</x:f>
        <x:v>11</x:v>
      </x:c>
      <x:c r="K67" s="270" t="n">
        <x:f>H67+IF(J67&lt;=$K$55-SUM($H$58:$H$68),1,0)</x:f>
        <x:v>0</x:v>
      </x:c>
      <x:c r="L67" s="270" t="n">
        <x:v>3</x:v>
      </x:c>
      <x:c r="M67" s="270" t="n">
        <x:f>K67*L67</x:f>
        <x:v>0</x:v>
      </x:c>
      <x:c r="N67" s="276" t="n">
        <x:f>K67-D67</x:f>
        <x:v>0</x:v>
      </x:c>
    </x:row>
    <x:row r="68" ht="23" customHeight="1">
      <x:c r="A68" s="176"/>
      <x:c r="B68" s="265" t="str">
        <x:v>세계 문화와 영어</x:v>
      </x:c>
      <x:c r="C68" s="265" t="str">
        <x:v>영어</x:v>
      </x:c>
      <x:c r="D68" s="270" t="n">
        <x:v>4</x:v>
      </x:c>
      <x:c r="E68" s="272" t="n">
        <x:v>3.3333333333333335</x:v>
      </x:c>
      <x:c r="F68" s="272" t="n">
        <x:f>E68</x:f>
        <x:v>3.3333333333333335</x:v>
      </x:c>
      <x:c r="G68" s="272" t="n">
        <x:f>$K$55*F68/SUM($F$58:$F$68)</x:f>
        <x:v>4.045977011494252</x:v>
      </x:c>
      <x:c r="H68" s="270" t="n">
        <x:f>INT(G68)</x:f>
        <x:v>4</x:v>
      </x:c>
      <x:c r="I68" s="274" t="n">
        <x:f>ROUND(G68-H68,12)</x:f>
        <x:v>0.045977011494</x:v>
      </x:c>
      <x:c r="J68" s="270" t="n">
        <x:f>COUNTIF($I$58:$I$68,"&gt;"&amp;I68)+COUNTIF($I$58:I68,I68)</x:f>
        <x:v>10</x:v>
      </x:c>
      <x:c r="K68" s="270" t="n">
        <x:f>H68+IF(J68&lt;=$K$55-SUM($H$58:$H$68),1,0)</x:f>
        <x:v>4</x:v>
      </x:c>
      <x:c r="L68" s="270" t="n">
        <x:v>3</x:v>
      </x:c>
      <x:c r="M68" s="270" t="n">
        <x:f>K68*L68</x:f>
        <x:v>12</x:v>
      </x:c>
      <x:c r="N68" s="276" t="n">
        <x:f>K68-D68</x:f>
        <x:v>0</x:v>
      </x:c>
    </x:row>
    <x:row r="69" ht="23" customHeight="1">
      <x:c r="A69" s="176"/>
      <x:c r="B69" s="254" t="str">
        <x:v>선택군 합계</x:v>
      </x:c>
      <x:c r="C69" s="254"/>
      <x:c r="D69" s="254" t="n">
        <x:f>SUM(D58:D68)</x:f>
        <x:v>48</x:v>
      </x:c>
      <x:c r="E69" s="254"/>
      <x:c r="F69" s="254"/>
      <x:c r="G69" s="254"/>
      <x:c r="H69" s="254"/>
      <x:c r="I69" s="254"/>
      <x:c r="J69" s="254"/>
      <x:c r="K69" s="254" t="n">
        <x:f>SUM(K58:K68)</x:f>
        <x:v>48</x:v>
      </x:c>
      <x:c r="L69" s="254"/>
      <x:c r="M69" s="254" t="n">
        <x:f>SUM(M58:M68)</x:f>
        <x:v>144</x:v>
      </x:c>
      <x:c r="N69" s="254" t="n">
        <x:f>SUM(N58:N68)</x:f>
        <x:v>0</x:v>
      </x:c>
    </x:row>
    <x:row r="70" ht="23" customHeight="1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</x:row>
    <x:row r="71" ht="23" customHeight="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</x:row>
    <x:row r="72" ht="28" customHeight="1">
      <x:c r="A72" s="176"/>
      <x:c r="B72" s="260" t="str">
        <x:v>2028학년도 2학년 2학기 두 안 공통</x:v>
      </x:c>
      <x:c r="C72" s="260"/>
      <x:c r="D72" s="260"/>
      <x:c r="E72" s="260"/>
      <x:c r="F72" s="260" t="str">
        <x:v>택3 · 12학급</x:v>
      </x:c>
      <x:c r="G72" s="260"/>
      <x:c r="H72" s="260"/>
      <x:c r="I72" s="260" t="str">
        <x:v>목표 반 수</x:v>
      </x:c>
      <x:c r="J72" s="260"/>
      <x:c r="K72" s="260" t="n">
        <x:f>12*3</x:f>
        <x:v>36</x:v>
      </x:c>
      <x:c r="L72" s="260" t="str">
        <x:v>반 수 차이</x:v>
      </x:c>
      <x:c r="M72" s="260"/>
      <x:c r="N72" s="260" t="n">
        <x:f>SUM(K75:K84)-K72</x:f>
        <x:v>0</x:v>
      </x:c>
    </x:row>
    <x:row r="73" ht="23" customHeight="1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</x:row>
    <x:row r="74" ht="34" customHeight="1">
      <x:c r="A74" s="176"/>
      <x:c r="B74" s="264" t="str">
        <x:v>과목명</x:v>
      </x:c>
      <x:c r="C74" s="264" t="str">
        <x:v>담당 교과</x:v>
      </x:c>
      <x:c r="D74" s="264" t="str">
        <x:v>보정 전
반 수</x:v>
      </x:c>
      <x:c r="E74" s="264" t="str">
        <x:v>기존
가중치</x:v>
      </x:c>
      <x:c r="F74" s="264" t="str">
        <x:v>보정
가중치</x:v>
      </x:c>
      <x:c r="G74" s="264" t="str">
        <x:v>배분값
(반)</x:v>
      </x:c>
      <x:c r="H74" s="264" t="str">
        <x:v>내림값</x:v>
      </x:c>
      <x:c r="I74" s="264" t="str">
        <x:v>소수 부분</x:v>
      </x:c>
      <x:c r="J74" s="264" t="str">
        <x:v>추가
순위</x:v>
      </x:c>
      <x:c r="K74" s="264" t="str">
        <x:v>보정 후
반 수</x:v>
      </x:c>
      <x:c r="L74" s="264" t="str">
        <x:v>반당
시수</x:v>
      </x:c>
      <x:c r="M74" s="264" t="str">
        <x:v>보정 후
시수</x:v>
      </x:c>
      <x:c r="N74" s="264" t="str">
        <x:v>반 수
증감</x:v>
      </x:c>
    </x:row>
    <x:row r="75" ht="23" customHeight="1">
      <x:c r="A75" s="176"/>
      <x:c r="B75" s="265" t="str">
        <x:v>한국지리 탐구</x:v>
      </x:c>
      <x:c r="C75" s="265" t="str">
        <x:v>지리</x:v>
      </x:c>
      <x:c r="D75" s="270" t="n">
        <x:v>2</x:v>
      </x:c>
      <x:c r="E75" s="272" t="n">
        <x:v>2</x:v>
      </x:c>
      <x:c r="F75" s="272" t="n">
        <x:f>E75</x:f>
        <x:v>2</x:v>
      </x:c>
      <x:c r="G75" s="272" t="n">
        <x:f>$K$72*F75/SUM($F$75:$F$84)</x:f>
        <x:v>1.8252522766428747</x:v>
      </x:c>
      <x:c r="H75" s="270" t="n">
        <x:f>INT(G75)</x:f>
        <x:v>1</x:v>
      </x:c>
      <x:c r="I75" s="274" t="n">
        <x:f>ROUND(G75-H75,12)</x:f>
        <x:v>0.825252276643</x:v>
      </x:c>
      <x:c r="J75" s="270" t="n">
        <x:f>COUNTIF($I$75:$I$84,"&gt;"&amp;I75)+COUNTIF($I$75:I75,I75)</x:f>
        <x:v>3</x:v>
      </x:c>
      <x:c r="K75" s="270" t="n">
        <x:f>H75+IF(J75&lt;=$K$72-SUM($H$75:$H$84),1,0)</x:f>
        <x:v>2</x:v>
      </x:c>
      <x:c r="L75" s="270" t="n">
        <x:v>3</x:v>
      </x:c>
      <x:c r="M75" s="270" t="n">
        <x:f>K75*L75</x:f>
        <x:v>6</x:v>
      </x:c>
      <x:c r="N75" s="276" t="n">
        <x:f>K75-D75</x:f>
        <x:v>0</x:v>
      </x:c>
    </x:row>
    <x:row r="76" ht="23" customHeight="1">
      <x:c r="A76" s="176"/>
      <x:c r="B76" s="267" t="str">
        <x:v>윤리와 사상</x:v>
      </x:c>
      <x:c r="C76" s="267" t="str">
        <x:v>윤리</x:v>
      </x:c>
      <x:c r="D76" s="271" t="n">
        <x:v>7</x:v>
      </x:c>
      <x:c r="E76" s="273" t="n">
        <x:v>8</x:v>
      </x:c>
      <x:c r="F76" s="273" t="n">
        <x:f>(SUM($E$75:$E$84)-E76)*$C$12/(1-$C$12)</x:f>
        <x:v>5.446601941747573</x:v>
      </x:c>
      <x:c r="G76" s="273" t="n">
        <x:f>$K$72*F76/SUM($F$75:$F$84)</x:f>
        <x:v>4.970711297071129</x:v>
      </x:c>
      <x:c r="H76" s="271" t="n">
        <x:f>INT(G76)</x:f>
        <x:v>4</x:v>
      </x:c>
      <x:c r="I76" s="275" t="n">
        <x:f>ROUND(G76-H76,12)</x:f>
        <x:v>0.970711297071</x:v>
      </x:c>
      <x:c r="J76" s="271" t="n">
        <x:f>COUNTIF($I$75:$I$84,"&gt;"&amp;I76)+COUNTIF($I$75:I76,I76)</x:f>
        <x:v>1</x:v>
      </x:c>
      <x:c r="K76" s="271" t="n">
        <x:f>H76+IF(J76&lt;=$K$72-SUM($H$75:$H$84),1,0)</x:f>
        <x:v>5</x:v>
      </x:c>
      <x:c r="L76" s="271" t="n">
        <x:v>3</x:v>
      </x:c>
      <x:c r="M76" s="271" t="n">
        <x:f>K76*L76</x:f>
        <x:v>15</x:v>
      </x:c>
      <x:c r="N76" s="277" t="n">
        <x:f>K76-D76</x:f>
        <x:v>-2</x:v>
      </x:c>
    </x:row>
    <x:row r="77" ht="23" customHeight="1">
      <x:c r="A77" s="176"/>
      <x:c r="B77" s="265" t="str">
        <x:v>정치</x:v>
      </x:c>
      <x:c r="C77" s="265" t="str">
        <x:v>일반사회</x:v>
      </x:c>
      <x:c r="D77" s="270" t="n">
        <x:v>4</x:v>
      </x:c>
      <x:c r="E77" s="272" t="n">
        <x:v>4</x:v>
      </x:c>
      <x:c r="F77" s="272" t="n">
        <x:f>E77</x:f>
        <x:v>4</x:v>
      </x:c>
      <x:c r="G77" s="272" t="n">
        <x:f>$K$72*F77/SUM($F$75:$F$84)</x:f>
        <x:v>3.6505045532857494</x:v>
      </x:c>
      <x:c r="H77" s="270" t="n">
        <x:f>INT(G77)</x:f>
        <x:v>3</x:v>
      </x:c>
      <x:c r="I77" s="274" t="n">
        <x:f>ROUND(G77-H77,12)</x:f>
        <x:v>0.650504553286</x:v>
      </x:c>
      <x:c r="J77" s="270" t="n">
        <x:f>COUNTIF($I$75:$I$84,"&gt;"&amp;I77)+COUNTIF($I$75:I77,I77)</x:f>
        <x:v>5</x:v>
      </x:c>
      <x:c r="K77" s="270" t="n">
        <x:f>H77+IF(J77&lt;=$K$72-SUM($H$75:$H$84),1,0)</x:f>
        <x:v>4</x:v>
      </x:c>
      <x:c r="L77" s="270" t="n">
        <x:v>3</x:v>
      </x:c>
      <x:c r="M77" s="270" t="n">
        <x:f>K77*L77</x:f>
        <x:v>12</x:v>
      </x:c>
      <x:c r="N77" s="276" t="n">
        <x:f>K77-D77</x:f>
        <x:v>0</x:v>
      </x:c>
    </x:row>
    <x:row r="78" ht="23" customHeight="1">
      <x:c r="A78" s="176"/>
      <x:c r="B78" s="265" t="str">
        <x:v>법과 사회</x:v>
      </x:c>
      <x:c r="C78" s="265" t="str">
        <x:v>일반사회</x:v>
      </x:c>
      <x:c r="D78" s="270" t="n">
        <x:v>4</x:v>
      </x:c>
      <x:c r="E78" s="272" t="n">
        <x:v>5</x:v>
      </x:c>
      <x:c r="F78" s="272" t="n">
        <x:f>E78</x:f>
        <x:v>5</x:v>
      </x:c>
      <x:c r="G78" s="272" t="n">
        <x:f>$K$72*F78/SUM($F$75:$F$84)</x:f>
        <x:v>4.563130691607187</x:v>
      </x:c>
      <x:c r="H78" s="270" t="n">
        <x:f>INT(G78)</x:f>
        <x:v>4</x:v>
      </x:c>
      <x:c r="I78" s="274" t="n">
        <x:f>ROUND(G78-H78,12)</x:f>
        <x:v>0.563130691607</x:v>
      </x:c>
      <x:c r="J78" s="270" t="n">
        <x:f>COUNTIF($I$75:$I$84,"&gt;"&amp;I78)+COUNTIF($I$75:I78,I78)</x:f>
        <x:v>7</x:v>
      </x:c>
      <x:c r="K78" s="270" t="n">
        <x:f>H78+IF(J78&lt;=$K$72-SUM($H$75:$H$84),1,0)</x:f>
        <x:v>5</x:v>
      </x:c>
      <x:c r="L78" s="270" t="n">
        <x:v>3</x:v>
      </x:c>
      <x:c r="M78" s="270" t="n">
        <x:f>K78*L78</x:f>
        <x:v>15</x:v>
      </x:c>
      <x:c r="N78" s="276" t="n">
        <x:f>K78-D78</x:f>
        <x:v>1</x:v>
      </x:c>
    </x:row>
    <x:row r="79" ht="23" customHeight="1">
      <x:c r="A79" s="176"/>
      <x:c r="B79" s="265" t="str">
        <x:v>동아시아 역사 기행</x:v>
      </x:c>
      <x:c r="C79" s="265" t="str">
        <x:v>역사</x:v>
      </x:c>
      <x:c r="D79" s="270" t="n">
        <x:v>2</x:v>
      </x:c>
      <x:c r="E79" s="272" t="n">
        <x:v>2</x:v>
      </x:c>
      <x:c r="F79" s="272" t="n">
        <x:f>E79</x:f>
        <x:v>2</x:v>
      </x:c>
      <x:c r="G79" s="272" t="n">
        <x:f>$K$72*F79/SUM($F$75:$F$84)</x:f>
        <x:v>1.8252522766428747</x:v>
      </x:c>
      <x:c r="H79" s="270" t="n">
        <x:f>INT(G79)</x:f>
        <x:v>1</x:v>
      </x:c>
      <x:c r="I79" s="274" t="n">
        <x:f>ROUND(G79-H79,12)</x:f>
        <x:v>0.825252276643</x:v>
      </x:c>
      <x:c r="J79" s="270" t="n">
        <x:f>COUNTIF($I$75:$I$84,"&gt;"&amp;I79)+COUNTIF($I$75:I79,I79)</x:f>
        <x:v>4</x:v>
      </x:c>
      <x:c r="K79" s="270" t="n">
        <x:f>H79+IF(J79&lt;=$K$72-SUM($H$75:$H$84),1,0)</x:f>
        <x:v>2</x:v>
      </x:c>
      <x:c r="L79" s="270" t="n">
        <x:v>3</x:v>
      </x:c>
      <x:c r="M79" s="270" t="n">
        <x:f>K79*L79</x:f>
        <x:v>6</x:v>
      </x:c>
      <x:c r="N79" s="276" t="n">
        <x:f>K79-D79</x:f>
        <x:v>0</x:v>
      </x:c>
    </x:row>
    <x:row r="80" ht="23" customHeight="1">
      <x:c r="A80" s="176"/>
      <x:c r="B80" s="265" t="str">
        <x:v>지구과학</x:v>
      </x:c>
      <x:c r="C80" s="265" t="str">
        <x:v>지구과학</x:v>
      </x:c>
      <x:c r="D80" s="270" t="n">
        <x:v>4</x:v>
      </x:c>
      <x:c r="E80" s="272" t="n">
        <x:v>5</x:v>
      </x:c>
      <x:c r="F80" s="272" t="n">
        <x:f>E80</x:f>
        <x:v>5</x:v>
      </x:c>
      <x:c r="G80" s="272" t="n">
        <x:f>$K$72*F80/SUM($F$75:$F$84)</x:f>
        <x:v>4.563130691607187</x:v>
      </x:c>
      <x:c r="H80" s="270" t="n">
        <x:f>INT(G80)</x:f>
        <x:v>4</x:v>
      </x:c>
      <x:c r="I80" s="274" t="n">
        <x:f>ROUND(G80-H80,12)</x:f>
        <x:v>0.563130691607</x:v>
      </x:c>
      <x:c r="J80" s="270" t="n">
        <x:f>COUNTIF($I$75:$I$84,"&gt;"&amp;I80)+COUNTIF($I$75:I80,I80)</x:f>
        <x:v>8</x:v>
      </x:c>
      <x:c r="K80" s="270" t="n">
        <x:f>H80+IF(J80&lt;=$K$72-SUM($H$75:$H$84),1,0)</x:f>
        <x:v>4</x:v>
      </x:c>
      <x:c r="L80" s="270" t="n">
        <x:v>3</x:v>
      </x:c>
      <x:c r="M80" s="270" t="n">
        <x:f>K80*L80</x:f>
        <x:v>12</x:v>
      </x:c>
      <x:c r="N80" s="276" t="n">
        <x:f>K80-D80</x:f>
        <x:v>0</x:v>
      </x:c>
    </x:row>
    <x:row r="81" ht="23" customHeight="1">
      <x:c r="A81" s="176"/>
      <x:c r="B81" s="265" t="str">
        <x:v>역학과 에너지</x:v>
      </x:c>
      <x:c r="C81" s="265" t="str">
        <x:v>물리학</x:v>
      </x:c>
      <x:c r="D81" s="270" t="n">
        <x:v>3</x:v>
      </x:c>
      <x:c r="E81" s="272" t="n">
        <x:v>4</x:v>
      </x:c>
      <x:c r="F81" s="272" t="n">
        <x:f>E81</x:f>
        <x:v>4</x:v>
      </x:c>
      <x:c r="G81" s="272" t="n">
        <x:f>$K$72*F81/SUM($F$75:$F$84)</x:f>
        <x:v>3.6505045532857494</x:v>
      </x:c>
      <x:c r="H81" s="270" t="n">
        <x:f>INT(G81)</x:f>
        <x:v>3</x:v>
      </x:c>
      <x:c r="I81" s="274" t="n">
        <x:f>ROUND(G81-H81,12)</x:f>
        <x:v>0.650504553286</x:v>
      </x:c>
      <x:c r="J81" s="270" t="n">
        <x:f>COUNTIF($I$75:$I$84,"&gt;"&amp;I81)+COUNTIF($I$75:I81,I81)</x:f>
        <x:v>6</x:v>
      </x:c>
      <x:c r="K81" s="270" t="n">
        <x:f>H81+IF(J81&lt;=$K$72-SUM($H$75:$H$84),1,0)</x:f>
        <x:v>4</x:v>
      </x:c>
      <x:c r="L81" s="270" t="n">
        <x:v>3</x:v>
      </x:c>
      <x:c r="M81" s="270" t="n">
        <x:f>K81*L81</x:f>
        <x:v>12</x:v>
      </x:c>
      <x:c r="N81" s="276" t="n">
        <x:f>K81-D81</x:f>
        <x:v>1</x:v>
      </x:c>
    </x:row>
    <x:row r="82" ht="23" customHeight="1">
      <x:c r="A82" s="176"/>
      <x:c r="B82" s="265" t="str">
        <x:v>화학 반응의 세계</x:v>
      </x:c>
      <x:c r="C82" s="265" t="str">
        <x:v>화학</x:v>
      </x:c>
      <x:c r="D82" s="270" t="n">
        <x:v>5</x:v>
      </x:c>
      <x:c r="E82" s="272" t="n">
        <x:v>6</x:v>
      </x:c>
      <x:c r="F82" s="272" t="n">
        <x:f>E82</x:f>
        <x:v>6</x:v>
      </x:c>
      <x:c r="G82" s="272" t="n">
        <x:f>$K$72*F82/SUM($F$75:$F$84)</x:f>
        <x:v>5.475756829928624</x:v>
      </x:c>
      <x:c r="H82" s="270" t="n">
        <x:f>INT(G82)</x:f>
        <x:v>5</x:v>
      </x:c>
      <x:c r="I82" s="274" t="n">
        <x:f>ROUND(G82-H82,12)</x:f>
        <x:v>0.475756829929</x:v>
      </x:c>
      <x:c r="J82" s="270" t="n">
        <x:f>COUNTIF($I$75:$I$84,"&gt;"&amp;I82)+COUNTIF($I$75:I82,I82)</x:f>
        <x:v>10</x:v>
      </x:c>
      <x:c r="K82" s="270" t="n">
        <x:f>H82+IF(J82&lt;=$K$72-SUM($H$75:$H$84),1,0)</x:f>
        <x:v>5</x:v>
      </x:c>
      <x:c r="L82" s="270" t="n">
        <x:v>3</x:v>
      </x:c>
      <x:c r="M82" s="270" t="n">
        <x:f>K82*L82</x:f>
        <x:v>15</x:v>
      </x:c>
      <x:c r="N82" s="276" t="n">
        <x:f>K82-D82</x:f>
        <x:v>0</x:v>
      </x:c>
    </x:row>
    <x:row r="83" ht="23" customHeight="1">
      <x:c r="A83" s="176"/>
      <x:c r="B83" s="265" t="str">
        <x:v>생물의 유전</x:v>
      </x:c>
      <x:c r="C83" s="265" t="str">
        <x:v>생명과학</x:v>
      </x:c>
      <x:c r="D83" s="270" t="n">
        <x:v>4</x:v>
      </x:c>
      <x:c r="E83" s="272" t="n">
        <x:v>5</x:v>
      </x:c>
      <x:c r="F83" s="272" t="n">
        <x:f>E83</x:f>
        <x:v>5</x:v>
      </x:c>
      <x:c r="G83" s="272" t="n">
        <x:f>$K$72*F83/SUM($F$75:$F$84)</x:f>
        <x:v>4.563130691607187</x:v>
      </x:c>
      <x:c r="H83" s="270" t="n">
        <x:f>INT(G83)</x:f>
        <x:v>4</x:v>
      </x:c>
      <x:c r="I83" s="274" t="n">
        <x:f>ROUND(G83-H83,12)</x:f>
        <x:v>0.563130691607</x:v>
      </x:c>
      <x:c r="J83" s="270" t="n">
        <x:f>COUNTIF($I$75:$I$84,"&gt;"&amp;I83)+COUNTIF($I$75:I83,I83)</x:f>
        <x:v>9</x:v>
      </x:c>
      <x:c r="K83" s="270" t="n">
        <x:f>H83+IF(J83&lt;=$K$72-SUM($H$75:$H$84),1,0)</x:f>
        <x:v>4</x:v>
      </x:c>
      <x:c r="L83" s="270" t="n">
        <x:v>3</x:v>
      </x:c>
      <x:c r="M83" s="270" t="n">
        <x:f>K83*L83</x:f>
        <x:v>12</x:v>
      </x:c>
      <x:c r="N83" s="276" t="n">
        <x:f>K83-D83</x:f>
        <x:v>0</x:v>
      </x:c>
    </x:row>
    <x:row r="84" ht="23" customHeight="1">
      <x:c r="A84" s="176"/>
      <x:c r="B84" s="265" t="str">
        <x:v>행성우주과학</x:v>
      </x:c>
      <x:c r="C84" s="265" t="str">
        <x:v>지구과학</x:v>
      </x:c>
      <x:c r="D84" s="270" t="n">
        <x:v>1</x:v>
      </x:c>
      <x:c r="E84" s="272" t="n">
        <x:v>1</x:v>
      </x:c>
      <x:c r="F84" s="272" t="n">
        <x:f>E84</x:f>
        <x:v>1</x:v>
      </x:c>
      <x:c r="G84" s="272" t="n">
        <x:f>$K$72*F84/SUM($F$75:$F$84)</x:f>
        <x:v>0.9126261383214374</x:v>
      </x:c>
      <x:c r="H84" s="270" t="n">
        <x:f>INT(G84)</x:f>
        <x:v>0</x:v>
      </x:c>
      <x:c r="I84" s="274" t="n">
        <x:f>ROUND(G84-H84,12)</x:f>
        <x:v>0.912626138321</x:v>
      </x:c>
      <x:c r="J84" s="270" t="n">
        <x:f>COUNTIF($I$75:$I$84,"&gt;"&amp;I84)+COUNTIF($I$75:I84,I84)</x:f>
        <x:v>2</x:v>
      </x:c>
      <x:c r="K84" s="270" t="n">
        <x:f>H84+IF(J84&lt;=$K$72-SUM($H$75:$H$84),1,0)</x:f>
        <x:v>1</x:v>
      </x:c>
      <x:c r="L84" s="270" t="n">
        <x:v>3</x:v>
      </x:c>
      <x:c r="M84" s="270" t="n">
        <x:f>K84*L84</x:f>
        <x:v>3</x:v>
      </x:c>
      <x:c r="N84" s="276" t="n">
        <x:f>K84-D84</x:f>
        <x:v>0</x:v>
      </x:c>
    </x:row>
    <x:row r="85" ht="23" customHeight="1">
      <x:c r="A85" s="176"/>
      <x:c r="B85" s="254" t="str">
        <x:v>선택군 합계</x:v>
      </x:c>
      <x:c r="C85" s="254"/>
      <x:c r="D85" s="254" t="n">
        <x:f>SUM(D75:D84)</x:f>
        <x:v>36</x:v>
      </x:c>
      <x:c r="E85" s="254"/>
      <x:c r="F85" s="254"/>
      <x:c r="G85" s="254"/>
      <x:c r="H85" s="254"/>
      <x:c r="I85" s="254"/>
      <x:c r="J85" s="254"/>
      <x:c r="K85" s="254" t="n">
        <x:f>SUM(K75:K84)</x:f>
        <x:v>36</x:v>
      </x:c>
      <x:c r="L85" s="254"/>
      <x:c r="M85" s="254" t="n">
        <x:f>SUM(M75:M84)</x:f>
        <x:v>108</x:v>
      </x:c>
      <x:c r="N85" s="254" t="n">
        <x:f>SUM(N75:N84)</x:f>
        <x:v>0</x:v>
      </x:c>
    </x:row>
    <x:row r="86" ht="23" customHeight="1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</x:row>
    <x:row r="87" ht="23" customHeight="1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</x:row>
    <x:row r="88" ht="28" customHeight="1">
      <x:c r="A88" s="176"/>
      <x:c r="B88" s="260" t="str">
        <x:v>2029학년도 2학년 2학기 두 안 공통</x:v>
      </x:c>
      <x:c r="C88" s="260"/>
      <x:c r="D88" s="260"/>
      <x:c r="E88" s="260"/>
      <x:c r="F88" s="260" t="str">
        <x:v>택3 · 12학급</x:v>
      </x:c>
      <x:c r="G88" s="260"/>
      <x:c r="H88" s="260"/>
      <x:c r="I88" s="260" t="str">
        <x:v>목표 반 수</x:v>
      </x:c>
      <x:c r="J88" s="260"/>
      <x:c r="K88" s="260" t="n">
        <x:f>12*3</x:f>
        <x:v>36</x:v>
      </x:c>
      <x:c r="L88" s="260" t="str">
        <x:v>반 수 차이</x:v>
      </x:c>
      <x:c r="M88" s="260"/>
      <x:c r="N88" s="260" t="n">
        <x:f>SUM(K91:K100)-K88</x:f>
        <x:v>0</x:v>
      </x:c>
    </x:row>
    <x:row r="89" ht="23" customHeight="1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</x:row>
    <x:row r="90" ht="34" customHeight="1">
      <x:c r="A90" s="176"/>
      <x:c r="B90" s="264" t="str">
        <x:v>과목명</x:v>
      </x:c>
      <x:c r="C90" s="264" t="str">
        <x:v>담당 교과</x:v>
      </x:c>
      <x:c r="D90" s="264" t="str">
        <x:v>보정 전
반 수</x:v>
      </x:c>
      <x:c r="E90" s="264" t="str">
        <x:v>기존
가중치</x:v>
      </x:c>
      <x:c r="F90" s="264" t="str">
        <x:v>보정
가중치</x:v>
      </x:c>
      <x:c r="G90" s="264" t="str">
        <x:v>배분값
(반)</x:v>
      </x:c>
      <x:c r="H90" s="264" t="str">
        <x:v>내림값</x:v>
      </x:c>
      <x:c r="I90" s="264" t="str">
        <x:v>소수 부분</x:v>
      </x:c>
      <x:c r="J90" s="264" t="str">
        <x:v>추가
순위</x:v>
      </x:c>
      <x:c r="K90" s="264" t="str">
        <x:v>보정 후
반 수</x:v>
      </x:c>
      <x:c r="L90" s="264" t="str">
        <x:v>반당
시수</x:v>
      </x:c>
      <x:c r="M90" s="264" t="str">
        <x:v>보정 후
시수</x:v>
      </x:c>
      <x:c r="N90" s="264" t="str">
        <x:v>반 수
증감</x:v>
      </x:c>
    </x:row>
    <x:row r="91" ht="23" customHeight="1">
      <x:c r="A91" s="176"/>
      <x:c r="B91" s="265" t="str">
        <x:v>한국지리 탐구</x:v>
      </x:c>
      <x:c r="C91" s="265" t="str">
        <x:v>지리</x:v>
      </x:c>
      <x:c r="D91" s="270" t="n">
        <x:v>2</x:v>
      </x:c>
      <x:c r="E91" s="272" t="n">
        <x:v>2</x:v>
      </x:c>
      <x:c r="F91" s="272" t="n">
        <x:f>E91</x:f>
        <x:v>2</x:v>
      </x:c>
      <x:c r="G91" s="272" t="n">
        <x:f>$K$88*F91/SUM($F$91:$F$100)</x:f>
        <x:v>1.8252522766428747</x:v>
      </x:c>
      <x:c r="H91" s="270" t="n">
        <x:f>INT(G91)</x:f>
        <x:v>1</x:v>
      </x:c>
      <x:c r="I91" s="274" t="n">
        <x:f>ROUND(G91-H91,12)</x:f>
        <x:v>0.825252276643</x:v>
      </x:c>
      <x:c r="J91" s="270" t="n">
        <x:f>COUNTIF($I$91:$I$100,"&gt;"&amp;I91)+COUNTIF($I$91:I91,I91)</x:f>
        <x:v>3</x:v>
      </x:c>
      <x:c r="K91" s="270" t="n">
        <x:f>H91+IF(J91&lt;=$K$88-SUM($H$91:$H$100),1,0)</x:f>
        <x:v>2</x:v>
      </x:c>
      <x:c r="L91" s="270" t="n">
        <x:v>3</x:v>
      </x:c>
      <x:c r="M91" s="270" t="n">
        <x:f>K91*L91</x:f>
        <x:v>6</x:v>
      </x:c>
      <x:c r="N91" s="276" t="n">
        <x:f>K91-D91</x:f>
        <x:v>0</x:v>
      </x:c>
    </x:row>
    <x:row r="92" ht="23" customHeight="1">
      <x:c r="A92" s="176"/>
      <x:c r="B92" s="267" t="str">
        <x:v>윤리와 사상</x:v>
      </x:c>
      <x:c r="C92" s="267" t="str">
        <x:v>윤리</x:v>
      </x:c>
      <x:c r="D92" s="271" t="n">
        <x:v>7</x:v>
      </x:c>
      <x:c r="E92" s="273" t="n">
        <x:v>8</x:v>
      </x:c>
      <x:c r="F92" s="273" t="n">
        <x:f>(SUM($E$91:$E$100)-E92)*$C$12/(1-$C$12)</x:f>
        <x:v>5.446601941747573</x:v>
      </x:c>
      <x:c r="G92" s="273" t="n">
        <x:f>$K$88*F92/SUM($F$91:$F$100)</x:f>
        <x:v>4.970711297071129</x:v>
      </x:c>
      <x:c r="H92" s="271" t="n">
        <x:f>INT(G92)</x:f>
        <x:v>4</x:v>
      </x:c>
      <x:c r="I92" s="275" t="n">
        <x:f>ROUND(G92-H92,12)</x:f>
        <x:v>0.970711297071</x:v>
      </x:c>
      <x:c r="J92" s="271" t="n">
        <x:f>COUNTIF($I$91:$I$100,"&gt;"&amp;I92)+COUNTIF($I$91:I92,I92)</x:f>
        <x:v>1</x:v>
      </x:c>
      <x:c r="K92" s="271" t="n">
        <x:f>H92+IF(J92&lt;=$K$88-SUM($H$91:$H$100),1,0)</x:f>
        <x:v>5</x:v>
      </x:c>
      <x:c r="L92" s="271" t="n">
        <x:v>3</x:v>
      </x:c>
      <x:c r="M92" s="271" t="n">
        <x:f>K92*L92</x:f>
        <x:v>15</x:v>
      </x:c>
      <x:c r="N92" s="277" t="n">
        <x:f>K92-D92</x:f>
        <x:v>-2</x:v>
      </x:c>
    </x:row>
    <x:row r="93" ht="23" customHeight="1">
      <x:c r="A93" s="176"/>
      <x:c r="B93" s="265" t="str">
        <x:v>정치</x:v>
      </x:c>
      <x:c r="C93" s="265" t="str">
        <x:v>일반사회</x:v>
      </x:c>
      <x:c r="D93" s="270" t="n">
        <x:v>4</x:v>
      </x:c>
      <x:c r="E93" s="272" t="n">
        <x:v>4</x:v>
      </x:c>
      <x:c r="F93" s="272" t="n">
        <x:f>E93</x:f>
        <x:v>4</x:v>
      </x:c>
      <x:c r="G93" s="272" t="n">
        <x:f>$K$88*F93/SUM($F$91:$F$100)</x:f>
        <x:v>3.6505045532857494</x:v>
      </x:c>
      <x:c r="H93" s="270" t="n">
        <x:f>INT(G93)</x:f>
        <x:v>3</x:v>
      </x:c>
      <x:c r="I93" s="274" t="n">
        <x:f>ROUND(G93-H93,12)</x:f>
        <x:v>0.650504553286</x:v>
      </x:c>
      <x:c r="J93" s="270" t="n">
        <x:f>COUNTIF($I$91:$I$100,"&gt;"&amp;I93)+COUNTIF($I$91:I93,I93)</x:f>
        <x:v>5</x:v>
      </x:c>
      <x:c r="K93" s="270" t="n">
        <x:f>H93+IF(J93&lt;=$K$88-SUM($H$91:$H$100),1,0)</x:f>
        <x:v>4</x:v>
      </x:c>
      <x:c r="L93" s="270" t="n">
        <x:v>3</x:v>
      </x:c>
      <x:c r="M93" s="270" t="n">
        <x:f>K93*L93</x:f>
        <x:v>12</x:v>
      </x:c>
      <x:c r="N93" s="276" t="n">
        <x:f>K93-D93</x:f>
        <x:v>0</x:v>
      </x:c>
    </x:row>
    <x:row r="94" ht="23" customHeight="1">
      <x:c r="A94" s="176"/>
      <x:c r="B94" s="265" t="str">
        <x:v>법과 사회</x:v>
      </x:c>
      <x:c r="C94" s="265" t="str">
        <x:v>일반사회</x:v>
      </x:c>
      <x:c r="D94" s="270" t="n">
        <x:v>4</x:v>
      </x:c>
      <x:c r="E94" s="272" t="n">
        <x:v>5</x:v>
      </x:c>
      <x:c r="F94" s="272" t="n">
        <x:f>E94</x:f>
        <x:v>5</x:v>
      </x:c>
      <x:c r="G94" s="272" t="n">
        <x:f>$K$88*F94/SUM($F$91:$F$100)</x:f>
        <x:v>4.563130691607187</x:v>
      </x:c>
      <x:c r="H94" s="270" t="n">
        <x:f>INT(G94)</x:f>
        <x:v>4</x:v>
      </x:c>
      <x:c r="I94" s="274" t="n">
        <x:f>ROUND(G94-H94,12)</x:f>
        <x:v>0.563130691607</x:v>
      </x:c>
      <x:c r="J94" s="270" t="n">
        <x:f>COUNTIF($I$91:$I$100,"&gt;"&amp;I94)+COUNTIF($I$91:I94,I94)</x:f>
        <x:v>7</x:v>
      </x:c>
      <x:c r="K94" s="270" t="n">
        <x:f>H94+IF(J94&lt;=$K$88-SUM($H$91:$H$100),1,0)</x:f>
        <x:v>5</x:v>
      </x:c>
      <x:c r="L94" s="270" t="n">
        <x:v>3</x:v>
      </x:c>
      <x:c r="M94" s="270" t="n">
        <x:f>K94*L94</x:f>
        <x:v>15</x:v>
      </x:c>
      <x:c r="N94" s="276" t="n">
        <x:f>K94-D94</x:f>
        <x:v>1</x:v>
      </x:c>
    </x:row>
    <x:row r="95" ht="23" customHeight="1">
      <x:c r="A95" s="176"/>
      <x:c r="B95" s="265" t="str">
        <x:v>동아시아 역사 기행</x:v>
      </x:c>
      <x:c r="C95" s="265" t="str">
        <x:v>역사</x:v>
      </x:c>
      <x:c r="D95" s="270" t="n">
        <x:v>2</x:v>
      </x:c>
      <x:c r="E95" s="272" t="n">
        <x:v>2</x:v>
      </x:c>
      <x:c r="F95" s="272" t="n">
        <x:f>E95</x:f>
        <x:v>2</x:v>
      </x:c>
      <x:c r="G95" s="272" t="n">
        <x:f>$K$88*F95/SUM($F$91:$F$100)</x:f>
        <x:v>1.8252522766428747</x:v>
      </x:c>
      <x:c r="H95" s="270" t="n">
        <x:f>INT(G95)</x:f>
        <x:v>1</x:v>
      </x:c>
      <x:c r="I95" s="274" t="n">
        <x:f>ROUND(G95-H95,12)</x:f>
        <x:v>0.825252276643</x:v>
      </x:c>
      <x:c r="J95" s="270" t="n">
        <x:f>COUNTIF($I$91:$I$100,"&gt;"&amp;I95)+COUNTIF($I$91:I95,I95)</x:f>
        <x:v>4</x:v>
      </x:c>
      <x:c r="K95" s="270" t="n">
        <x:f>H95+IF(J95&lt;=$K$88-SUM($H$91:$H$100),1,0)</x:f>
        <x:v>2</x:v>
      </x:c>
      <x:c r="L95" s="270" t="n">
        <x:v>3</x:v>
      </x:c>
      <x:c r="M95" s="270" t="n">
        <x:f>K95*L95</x:f>
        <x:v>6</x:v>
      </x:c>
      <x:c r="N95" s="276" t="n">
        <x:f>K95-D95</x:f>
        <x:v>0</x:v>
      </x:c>
    </x:row>
    <x:row r="96" ht="23" customHeight="1">
      <x:c r="A96" s="176"/>
      <x:c r="B96" s="265" t="str">
        <x:v>지구과학</x:v>
      </x:c>
      <x:c r="C96" s="265" t="str">
        <x:v>지구과학</x:v>
      </x:c>
      <x:c r="D96" s="270" t="n">
        <x:v>4</x:v>
      </x:c>
      <x:c r="E96" s="272" t="n">
        <x:v>5</x:v>
      </x:c>
      <x:c r="F96" s="272" t="n">
        <x:f>E96</x:f>
        <x:v>5</x:v>
      </x:c>
      <x:c r="G96" s="272" t="n">
        <x:f>$K$88*F96/SUM($F$91:$F$100)</x:f>
        <x:v>4.563130691607187</x:v>
      </x:c>
      <x:c r="H96" s="270" t="n">
        <x:f>INT(G96)</x:f>
        <x:v>4</x:v>
      </x:c>
      <x:c r="I96" s="274" t="n">
        <x:f>ROUND(G96-H96,12)</x:f>
        <x:v>0.563130691607</x:v>
      </x:c>
      <x:c r="J96" s="270" t="n">
        <x:f>COUNTIF($I$91:$I$100,"&gt;"&amp;I96)+COUNTIF($I$91:I96,I96)</x:f>
        <x:v>8</x:v>
      </x:c>
      <x:c r="K96" s="270" t="n">
        <x:f>H96+IF(J96&lt;=$K$88-SUM($H$91:$H$100),1,0)</x:f>
        <x:v>4</x:v>
      </x:c>
      <x:c r="L96" s="270" t="n">
        <x:v>3</x:v>
      </x:c>
      <x:c r="M96" s="270" t="n">
        <x:f>K96*L96</x:f>
        <x:v>12</x:v>
      </x:c>
      <x:c r="N96" s="276" t="n">
        <x:f>K96-D96</x:f>
        <x:v>0</x:v>
      </x:c>
    </x:row>
    <x:row r="97" ht="23" customHeight="1">
      <x:c r="A97" s="176"/>
      <x:c r="B97" s="265" t="str">
        <x:v>역학과 에너지</x:v>
      </x:c>
      <x:c r="C97" s="265" t="str">
        <x:v>물리학</x:v>
      </x:c>
      <x:c r="D97" s="270" t="n">
        <x:v>3</x:v>
      </x:c>
      <x:c r="E97" s="272" t="n">
        <x:v>4</x:v>
      </x:c>
      <x:c r="F97" s="272" t="n">
        <x:f>E97</x:f>
        <x:v>4</x:v>
      </x:c>
      <x:c r="G97" s="272" t="n">
        <x:f>$K$88*F97/SUM($F$91:$F$100)</x:f>
        <x:v>3.6505045532857494</x:v>
      </x:c>
      <x:c r="H97" s="270" t="n">
        <x:f>INT(G97)</x:f>
        <x:v>3</x:v>
      </x:c>
      <x:c r="I97" s="274" t="n">
        <x:f>ROUND(G97-H97,12)</x:f>
        <x:v>0.650504553286</x:v>
      </x:c>
      <x:c r="J97" s="270" t="n">
        <x:f>COUNTIF($I$91:$I$100,"&gt;"&amp;I97)+COUNTIF($I$91:I97,I97)</x:f>
        <x:v>6</x:v>
      </x:c>
      <x:c r="K97" s="270" t="n">
        <x:f>H97+IF(J97&lt;=$K$88-SUM($H$91:$H$100),1,0)</x:f>
        <x:v>4</x:v>
      </x:c>
      <x:c r="L97" s="270" t="n">
        <x:v>3</x:v>
      </x:c>
      <x:c r="M97" s="270" t="n">
        <x:f>K97*L97</x:f>
        <x:v>12</x:v>
      </x:c>
      <x:c r="N97" s="276" t="n">
        <x:f>K97-D97</x:f>
        <x:v>1</x:v>
      </x:c>
    </x:row>
    <x:row r="98" ht="23" customHeight="1">
      <x:c r="A98" s="176"/>
      <x:c r="B98" s="265" t="str">
        <x:v>화학 반응의 세계</x:v>
      </x:c>
      <x:c r="C98" s="265" t="str">
        <x:v>화학</x:v>
      </x:c>
      <x:c r="D98" s="270" t="n">
        <x:v>5</x:v>
      </x:c>
      <x:c r="E98" s="272" t="n">
        <x:v>6</x:v>
      </x:c>
      <x:c r="F98" s="272" t="n">
        <x:f>E98</x:f>
        <x:v>6</x:v>
      </x:c>
      <x:c r="G98" s="272" t="n">
        <x:f>$K$88*F98/SUM($F$91:$F$100)</x:f>
        <x:v>5.475756829928624</x:v>
      </x:c>
      <x:c r="H98" s="270" t="n">
        <x:f>INT(G98)</x:f>
        <x:v>5</x:v>
      </x:c>
      <x:c r="I98" s="274" t="n">
        <x:f>ROUND(G98-H98,12)</x:f>
        <x:v>0.475756829929</x:v>
      </x:c>
      <x:c r="J98" s="270" t="n">
        <x:f>COUNTIF($I$91:$I$100,"&gt;"&amp;I98)+COUNTIF($I$91:I98,I98)</x:f>
        <x:v>10</x:v>
      </x:c>
      <x:c r="K98" s="270" t="n">
        <x:f>H98+IF(J98&lt;=$K$88-SUM($H$91:$H$100),1,0)</x:f>
        <x:v>5</x:v>
      </x:c>
      <x:c r="L98" s="270" t="n">
        <x:v>3</x:v>
      </x:c>
      <x:c r="M98" s="270" t="n">
        <x:f>K98*L98</x:f>
        <x:v>15</x:v>
      </x:c>
      <x:c r="N98" s="276" t="n">
        <x:f>K98-D98</x:f>
        <x:v>0</x:v>
      </x:c>
    </x:row>
    <x:row r="99" ht="23" customHeight="1">
      <x:c r="A99" s="176"/>
      <x:c r="B99" s="265" t="str">
        <x:v>생물의 유전</x:v>
      </x:c>
      <x:c r="C99" s="265" t="str">
        <x:v>생명과학</x:v>
      </x:c>
      <x:c r="D99" s="270" t="n">
        <x:v>4</x:v>
      </x:c>
      <x:c r="E99" s="272" t="n">
        <x:v>5</x:v>
      </x:c>
      <x:c r="F99" s="272" t="n">
        <x:f>E99</x:f>
        <x:v>5</x:v>
      </x:c>
      <x:c r="G99" s="272" t="n">
        <x:f>$K$88*F99/SUM($F$91:$F$100)</x:f>
        <x:v>4.563130691607187</x:v>
      </x:c>
      <x:c r="H99" s="270" t="n">
        <x:f>INT(G99)</x:f>
        <x:v>4</x:v>
      </x:c>
      <x:c r="I99" s="274" t="n">
        <x:f>ROUND(G99-H99,12)</x:f>
        <x:v>0.563130691607</x:v>
      </x:c>
      <x:c r="J99" s="270" t="n">
        <x:f>COUNTIF($I$91:$I$100,"&gt;"&amp;I99)+COUNTIF($I$91:I99,I99)</x:f>
        <x:v>9</x:v>
      </x:c>
      <x:c r="K99" s="270" t="n">
        <x:f>H99+IF(J99&lt;=$K$88-SUM($H$91:$H$100),1,0)</x:f>
        <x:v>4</x:v>
      </x:c>
      <x:c r="L99" s="270" t="n">
        <x:v>3</x:v>
      </x:c>
      <x:c r="M99" s="270" t="n">
        <x:f>K99*L99</x:f>
        <x:v>12</x:v>
      </x:c>
      <x:c r="N99" s="276" t="n">
        <x:f>K99-D99</x:f>
        <x:v>0</x:v>
      </x:c>
    </x:row>
    <x:row r="100" ht="23" customHeight="1">
      <x:c r="A100" s="176"/>
      <x:c r="B100" s="265" t="str">
        <x:v>행성우주과학</x:v>
      </x:c>
      <x:c r="C100" s="265" t="str">
        <x:v>지구과학</x:v>
      </x:c>
      <x:c r="D100" s="270" t="n">
        <x:v>1</x:v>
      </x:c>
      <x:c r="E100" s="272" t="n">
        <x:v>1</x:v>
      </x:c>
      <x:c r="F100" s="272" t="n">
        <x:f>E100</x:f>
        <x:v>1</x:v>
      </x:c>
      <x:c r="G100" s="272" t="n">
        <x:f>$K$88*F100/SUM($F$91:$F$100)</x:f>
        <x:v>0.9126261383214374</x:v>
      </x:c>
      <x:c r="H100" s="270" t="n">
        <x:f>INT(G100)</x:f>
        <x:v>0</x:v>
      </x:c>
      <x:c r="I100" s="274" t="n">
        <x:f>ROUND(G100-H100,12)</x:f>
        <x:v>0.912626138321</x:v>
      </x:c>
      <x:c r="J100" s="270" t="n">
        <x:f>COUNTIF($I$91:$I$100,"&gt;"&amp;I100)+COUNTIF($I$91:I100,I100)</x:f>
        <x:v>2</x:v>
      </x:c>
      <x:c r="K100" s="270" t="n">
        <x:f>H100+IF(J100&lt;=$K$88-SUM($H$91:$H$100),1,0)</x:f>
        <x:v>1</x:v>
      </x:c>
      <x:c r="L100" s="270" t="n">
        <x:v>3</x:v>
      </x:c>
      <x:c r="M100" s="270" t="n">
        <x:f>K100*L100</x:f>
        <x:v>3</x:v>
      </x:c>
      <x:c r="N100" s="276" t="n">
        <x:f>K100-D100</x:f>
        <x:v>0</x:v>
      </x:c>
    </x:row>
    <x:row r="101" ht="23" customHeight="1">
      <x:c r="A101" s="176"/>
      <x:c r="B101" s="254" t="str">
        <x:v>선택군 합계</x:v>
      </x:c>
      <x:c r="C101" s="254"/>
      <x:c r="D101" s="254" t="n">
        <x:f>SUM(D91:D100)</x:f>
        <x:v>36</x:v>
      </x:c>
      <x:c r="E101" s="254"/>
      <x:c r="F101" s="254"/>
      <x:c r="G101" s="254"/>
      <x:c r="H101" s="254"/>
      <x:c r="I101" s="254"/>
      <x:c r="J101" s="254"/>
      <x:c r="K101" s="254" t="n">
        <x:f>SUM(K91:K100)</x:f>
        <x:v>36</x:v>
      </x:c>
      <x:c r="L101" s="254"/>
      <x:c r="M101" s="254" t="n">
        <x:f>SUM(M91:M100)</x:f>
        <x:v>108</x:v>
      </x:c>
      <x:c r="N101" s="254" t="n">
        <x:f>SUM(N91:N100)</x:f>
        <x:v>0</x:v>
      </x:c>
    </x:row>
    <x:row r="102" ht="23" customHeight="1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</x:row>
    <x:row r="103" ht="23" customHeight="1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</x:row>
    <x:row r="104" ht="23" customHeight="1">
      <x:c r="A104" s="176"/>
      <x:c r="B104" s="176" t="str">
        <x:v>계산: 확인된 수요 비중을 반영한 가중치로 총반수에 비례 배분. 내림 후 남은 반은 소수 부분이 큰 순서로 배정합니다.</x:v>
      </x:c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</x:row>
    <x:row r="105" ht="23" customHeight="1">
      <x:c r="A105" s="176"/>
      <x:c r="B105" s="176" t="str">
        <x:v>동률은 교육과정 순서입니다. 이동한 영어의 기존 가중치를 유지하므로 변경안에서는 경제 비중도 함께 재조정됩니다.</x:v>
      </x:c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</x:row>
    <x:row r="106" ht="23" customHeight="1">
      <x:c r="A106" s="176"/>
      <x:c r="B106" s="176" t="str">
        <x:v>2027년은 실제 최종 선택자료를 유지했습니다. 2028·2029년 결과는 개설 확정이 아닌 예상입니다.</x:v>
      </x:c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</x:row>
    <x:row r="107" ht="23" customHeight="1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</x:row>
    <x:row r="108" ht="23" customHeight="1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</x:row>
    <x:row r="109" ht="23" customHeight="1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</x:row>
    <x:row r="110" ht="23" customHeight="1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</x:row>
  </x:sheetData>
  <x:dataValidations count="3">
    <x:dataValidation type="whole" operator="between" sqref="C7">
      <x:formula1>0</x:formula1>
      <x:formula2>$C$8</x:formula2>
    </x:dataValidation>
    <x:dataValidation type="whole" operator="between" sqref="C8">
      <x:formula1>1</x:formula1>
      <x:formula2>10000</x:formula2>
    </x:dataValidation>
    <x:dataValidation type="whole" operator="between" sqref="C11">
      <x:formula1>0</x:formula1>
      <x:formula2>$C$8</x:formula2>
    </x:dataValidation>
  </x:dataValidations>
  <x:pageMargins left="0.7" right="0.7" top="0.75" bottom="0.75" header="0.3" footer="0.3"/>
</x:worksheet>
</file>